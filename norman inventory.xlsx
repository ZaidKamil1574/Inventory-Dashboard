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zaidkamil/Downloads/"/>
    </mc:Choice>
  </mc:AlternateContent>
  <xr:revisionPtr revIDLastSave="0" documentId="13_ncr:9_{FF447DD2-6E21-C048-979C-92887E79B686}" xr6:coauthVersionLast="47" xr6:coauthVersionMax="47" xr10:uidLastSave="{00000000-0000-0000-0000-000000000000}"/>
  <bookViews>
    <workbookView xWindow="36640" yWindow="3540" windowWidth="27240" windowHeight="16180" xr2:uid="{B8C9FA31-42EC-3E4C-A4E5-CCFCDD347A9B}"/>
  </bookViews>
  <sheets>
    <sheet name="Sheet1" sheetId="2" r:id="rId1"/>
    <sheet name="norman_inventory" sheetId="1" r:id="rId2"/>
  </sheet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11" i="1"/>
  <c r="M18" i="1"/>
  <c r="M35" i="1"/>
  <c r="M43" i="1"/>
  <c r="M46" i="1"/>
  <c r="M44" i="1"/>
  <c r="M31" i="1"/>
  <c r="M33" i="1"/>
  <c r="M40" i="1"/>
  <c r="M51" i="1"/>
  <c r="M17" i="1"/>
  <c r="M20" i="1"/>
  <c r="M25" i="1"/>
  <c r="M13" i="1"/>
  <c r="M53" i="1"/>
  <c r="M15" i="1"/>
  <c r="M26" i="1"/>
  <c r="M39" i="1"/>
  <c r="M8" i="1"/>
  <c r="M2" i="1"/>
  <c r="M3" i="1"/>
  <c r="M4" i="1"/>
  <c r="M14" i="1"/>
  <c r="M21" i="1"/>
  <c r="M16" i="1"/>
  <c r="M10" i="1"/>
  <c r="M49" i="1"/>
  <c r="M34" i="1"/>
  <c r="M45" i="1"/>
  <c r="M6" i="1"/>
  <c r="M12" i="1"/>
  <c r="M41" i="1"/>
  <c r="M23" i="1"/>
  <c r="M24" i="1"/>
  <c r="M28" i="1"/>
  <c r="M29" i="1"/>
  <c r="M22" i="1"/>
  <c r="M19" i="1"/>
  <c r="M30" i="1"/>
  <c r="M37" i="1"/>
  <c r="M38" i="1"/>
  <c r="M48" i="1"/>
  <c r="M42" i="1"/>
  <c r="M52" i="1"/>
  <c r="M36" i="1"/>
  <c r="M47" i="1"/>
  <c r="M50" i="1"/>
  <c r="M32" i="1"/>
  <c r="M5" i="1"/>
  <c r="M7" i="1"/>
  <c r="M27" i="1"/>
  <c r="I9" i="1"/>
  <c r="I46" i="1"/>
  <c r="I51" i="1"/>
  <c r="G21" i="1"/>
  <c r="I21" i="1" s="1"/>
  <c r="G16" i="1"/>
  <c r="I16" i="1" s="1"/>
  <c r="G49" i="1"/>
  <c r="I49" i="1" s="1"/>
  <c r="G6" i="1"/>
  <c r="I6" i="1" s="1"/>
  <c r="G40" i="1"/>
  <c r="I40" i="1" s="1"/>
  <c r="G51" i="1"/>
  <c r="G17" i="1"/>
  <c r="I17" i="1" s="1"/>
  <c r="G13" i="1"/>
  <c r="I13" i="1" s="1"/>
  <c r="G8" i="1"/>
  <c r="I8" i="1" s="1"/>
  <c r="G9" i="1"/>
  <c r="G11" i="1"/>
  <c r="I11" i="1" s="1"/>
  <c r="G46" i="1"/>
  <c r="G44" i="1"/>
  <c r="I44" i="1" s="1"/>
  <c r="G7" i="1"/>
  <c r="I7" i="1" s="1"/>
  <c r="G2" i="1"/>
  <c r="I2" i="1" s="1"/>
  <c r="G14" i="1"/>
  <c r="I14" i="1" s="1"/>
  <c r="G27" i="1"/>
  <c r="I27" i="1" s="1"/>
  <c r="F35" i="1"/>
  <c r="G35" i="1" s="1"/>
  <c r="I35" i="1" s="1"/>
  <c r="F43" i="1"/>
  <c r="G43" i="1" s="1"/>
  <c r="I43" i="1" s="1"/>
  <c r="F46" i="1"/>
  <c r="F44" i="1"/>
  <c r="F34" i="1"/>
  <c r="G34" i="1" s="1"/>
  <c r="I34" i="1" s="1"/>
  <c r="F45" i="1"/>
  <c r="G45" i="1" s="1"/>
  <c r="I45" i="1" s="1"/>
  <c r="F6" i="1"/>
  <c r="F12" i="1"/>
  <c r="G12" i="1" s="1"/>
  <c r="I12" i="1" s="1"/>
  <c r="F41" i="1"/>
  <c r="G41" i="1" s="1"/>
  <c r="I41" i="1" s="1"/>
  <c r="F31" i="1"/>
  <c r="G31" i="1" s="1"/>
  <c r="I31" i="1" s="1"/>
  <c r="F33" i="1"/>
  <c r="G33" i="1" s="1"/>
  <c r="I33" i="1" s="1"/>
  <c r="F40" i="1"/>
  <c r="F51" i="1"/>
  <c r="F17" i="1"/>
  <c r="F20" i="1"/>
  <c r="G20" i="1" s="1"/>
  <c r="I20" i="1" s="1"/>
  <c r="F25" i="1"/>
  <c r="G25" i="1" s="1"/>
  <c r="I25" i="1" s="1"/>
  <c r="F13" i="1"/>
  <c r="F53" i="1"/>
  <c r="G53" i="1" s="1"/>
  <c r="I53" i="1" s="1"/>
  <c r="F15" i="1"/>
  <c r="G15" i="1" s="1"/>
  <c r="I15" i="1" s="1"/>
  <c r="F26" i="1"/>
  <c r="G26" i="1" s="1"/>
  <c r="I26" i="1" s="1"/>
  <c r="F39" i="1"/>
  <c r="G39" i="1" s="1"/>
  <c r="I39" i="1" s="1"/>
  <c r="F8" i="1"/>
  <c r="F9" i="1"/>
  <c r="F11" i="1"/>
  <c r="F18" i="1"/>
  <c r="G18" i="1" s="1"/>
  <c r="I18" i="1" s="1"/>
  <c r="F23" i="1"/>
  <c r="G23" i="1" s="1"/>
  <c r="I23" i="1" s="1"/>
  <c r="F24" i="1"/>
  <c r="G24" i="1" s="1"/>
  <c r="I24" i="1" s="1"/>
  <c r="F28" i="1"/>
  <c r="G28" i="1" s="1"/>
  <c r="I28" i="1" s="1"/>
  <c r="F29" i="1"/>
  <c r="G29" i="1" s="1"/>
  <c r="I29" i="1" s="1"/>
  <c r="F22" i="1"/>
  <c r="G22" i="1" s="1"/>
  <c r="I22" i="1" s="1"/>
  <c r="F19" i="1"/>
  <c r="G19" i="1" s="1"/>
  <c r="I19" i="1" s="1"/>
  <c r="F30" i="1"/>
  <c r="G30" i="1" s="1"/>
  <c r="I30" i="1" s="1"/>
  <c r="F37" i="1"/>
  <c r="G37" i="1" s="1"/>
  <c r="I37" i="1" s="1"/>
  <c r="F38" i="1"/>
  <c r="G38" i="1" s="1"/>
  <c r="I38" i="1" s="1"/>
  <c r="F48" i="1"/>
  <c r="G48" i="1" s="1"/>
  <c r="I48" i="1" s="1"/>
  <c r="F42" i="1"/>
  <c r="G42" i="1" s="1"/>
  <c r="I42" i="1" s="1"/>
  <c r="F52" i="1"/>
  <c r="G52" i="1" s="1"/>
  <c r="I52" i="1" s="1"/>
  <c r="F36" i="1"/>
  <c r="G36" i="1" s="1"/>
  <c r="I36" i="1" s="1"/>
  <c r="F47" i="1"/>
  <c r="G47" i="1" s="1"/>
  <c r="I47" i="1" s="1"/>
  <c r="F50" i="1"/>
  <c r="G50" i="1" s="1"/>
  <c r="I50" i="1" s="1"/>
  <c r="F32" i="1"/>
  <c r="G32" i="1" s="1"/>
  <c r="I32" i="1" s="1"/>
  <c r="F5" i="1"/>
  <c r="G5" i="1" s="1"/>
  <c r="I5" i="1" s="1"/>
  <c r="F7" i="1"/>
  <c r="F2" i="1"/>
  <c r="F3" i="1"/>
  <c r="G3" i="1" s="1"/>
  <c r="I3" i="1" s="1"/>
  <c r="F4" i="1"/>
  <c r="G4" i="1" s="1"/>
  <c r="I4" i="1" s="1"/>
  <c r="F14" i="1"/>
  <c r="F21" i="1"/>
  <c r="F16" i="1"/>
  <c r="F10" i="1"/>
  <c r="G10" i="1" s="1"/>
  <c r="I10" i="1" s="1"/>
  <c r="F49" i="1"/>
  <c r="F27" i="1"/>
  <c r="E6" i="1"/>
  <c r="E12" i="1"/>
  <c r="E33" i="1"/>
  <c r="E40" i="1"/>
  <c r="E20" i="1"/>
  <c r="E24" i="1"/>
  <c r="E19" i="1"/>
  <c r="E30" i="1"/>
  <c r="E38" i="1"/>
  <c r="E52" i="1"/>
  <c r="E36" i="1"/>
  <c r="E32" i="1"/>
  <c r="E2" i="1"/>
  <c r="E14" i="1"/>
  <c r="D16" i="1"/>
  <c r="E16" i="1" s="1"/>
  <c r="D10" i="1"/>
  <c r="E10" i="1" s="1"/>
  <c r="D49" i="1"/>
  <c r="E49" i="1" s="1"/>
  <c r="D34" i="1"/>
  <c r="E34" i="1" s="1"/>
  <c r="D45" i="1"/>
  <c r="E45" i="1" s="1"/>
  <c r="D6" i="1"/>
  <c r="D12" i="1"/>
  <c r="D41" i="1"/>
  <c r="E41" i="1" s="1"/>
  <c r="D31" i="1"/>
  <c r="E31" i="1" s="1"/>
  <c r="D33" i="1"/>
  <c r="D40" i="1"/>
  <c r="D51" i="1"/>
  <c r="E51" i="1" s="1"/>
  <c r="D17" i="1"/>
  <c r="E17" i="1" s="1"/>
  <c r="D20" i="1"/>
  <c r="D25" i="1"/>
  <c r="E25" i="1" s="1"/>
  <c r="D13" i="1"/>
  <c r="E13" i="1" s="1"/>
  <c r="D53" i="1"/>
  <c r="E53" i="1" s="1"/>
  <c r="D15" i="1"/>
  <c r="E15" i="1" s="1"/>
  <c r="D26" i="1"/>
  <c r="E26" i="1" s="1"/>
  <c r="D39" i="1"/>
  <c r="E39" i="1" s="1"/>
  <c r="D8" i="1"/>
  <c r="E8" i="1" s="1"/>
  <c r="D9" i="1"/>
  <c r="E9" i="1" s="1"/>
  <c r="D11" i="1"/>
  <c r="E11" i="1" s="1"/>
  <c r="D18" i="1"/>
  <c r="E18" i="1" s="1"/>
  <c r="D35" i="1"/>
  <c r="E35" i="1" s="1"/>
  <c r="D43" i="1"/>
  <c r="E43" i="1" s="1"/>
  <c r="D46" i="1"/>
  <c r="E46" i="1" s="1"/>
  <c r="D44" i="1"/>
  <c r="E44" i="1" s="1"/>
  <c r="D23" i="1"/>
  <c r="E23" i="1" s="1"/>
  <c r="D24" i="1"/>
  <c r="D28" i="1"/>
  <c r="E28" i="1" s="1"/>
  <c r="D29" i="1"/>
  <c r="E29" i="1" s="1"/>
  <c r="D22" i="1"/>
  <c r="E22" i="1" s="1"/>
  <c r="D19" i="1"/>
  <c r="D30" i="1"/>
  <c r="D37" i="1"/>
  <c r="N37" i="1" s="1"/>
  <c r="D38" i="1"/>
  <c r="D48" i="1"/>
  <c r="E48" i="1" s="1"/>
  <c r="D42" i="1"/>
  <c r="E42" i="1" s="1"/>
  <c r="D52" i="1"/>
  <c r="D36" i="1"/>
  <c r="D47" i="1"/>
  <c r="E47" i="1" s="1"/>
  <c r="D50" i="1"/>
  <c r="E50" i="1" s="1"/>
  <c r="D32" i="1"/>
  <c r="D5" i="1"/>
  <c r="E5" i="1" s="1"/>
  <c r="D7" i="1"/>
  <c r="E7" i="1" s="1"/>
  <c r="D2" i="1"/>
  <c r="D3" i="1"/>
  <c r="E3" i="1" s="1"/>
  <c r="D4" i="1"/>
  <c r="E4" i="1" s="1"/>
  <c r="D14" i="1"/>
  <c r="D21" i="1"/>
  <c r="E21" i="1" s="1"/>
  <c r="D27" i="1"/>
  <c r="E27" i="1" s="1"/>
  <c r="C16" i="1"/>
  <c r="C34" i="1"/>
  <c r="C6" i="1"/>
  <c r="C40" i="1"/>
  <c r="C20" i="1"/>
  <c r="C25" i="1"/>
  <c r="C15" i="1"/>
  <c r="C18" i="1"/>
  <c r="C43" i="1"/>
  <c r="C29" i="1"/>
  <c r="C21" i="1"/>
  <c r="B23" i="1"/>
  <c r="C23" i="1" s="1"/>
  <c r="B24" i="1"/>
  <c r="C24" i="1" s="1"/>
  <c r="B28" i="1"/>
  <c r="C28" i="1" s="1"/>
  <c r="B29" i="1"/>
  <c r="N29" i="1" s="1"/>
  <c r="B22" i="1"/>
  <c r="C22" i="1" s="1"/>
  <c r="B19" i="1"/>
  <c r="C19" i="1" s="1"/>
  <c r="B30" i="1"/>
  <c r="C30" i="1" s="1"/>
  <c r="B37" i="1"/>
  <c r="C37" i="1" s="1"/>
  <c r="B38" i="1"/>
  <c r="C38" i="1" s="1"/>
  <c r="B48" i="1"/>
  <c r="C48" i="1" s="1"/>
  <c r="B42" i="1"/>
  <c r="N42" i="1" s="1"/>
  <c r="B52" i="1"/>
  <c r="N52" i="1" s="1"/>
  <c r="B36" i="1"/>
  <c r="C36" i="1" s="1"/>
  <c r="B47" i="1"/>
  <c r="C47" i="1" s="1"/>
  <c r="B50" i="1"/>
  <c r="C50" i="1" s="1"/>
  <c r="B32" i="1"/>
  <c r="C32" i="1" s="1"/>
  <c r="B5" i="1"/>
  <c r="C5" i="1" s="1"/>
  <c r="B7" i="1"/>
  <c r="C7" i="1" s="1"/>
  <c r="B2" i="1"/>
  <c r="C2" i="1" s="1"/>
  <c r="B3" i="1"/>
  <c r="C3" i="1" s="1"/>
  <c r="B4" i="1"/>
  <c r="C4" i="1" s="1"/>
  <c r="B14" i="1"/>
  <c r="N14" i="1" s="1"/>
  <c r="B21" i="1"/>
  <c r="N21" i="1" s="1"/>
  <c r="B16" i="1"/>
  <c r="N16" i="1" s="1"/>
  <c r="B10" i="1"/>
  <c r="N10" i="1" s="1"/>
  <c r="B49" i="1"/>
  <c r="N49" i="1" s="1"/>
  <c r="B34" i="1"/>
  <c r="N34" i="1" s="1"/>
  <c r="B45" i="1"/>
  <c r="C45" i="1" s="1"/>
  <c r="B6" i="1"/>
  <c r="N6" i="1" s="1"/>
  <c r="B12" i="1"/>
  <c r="C12" i="1" s="1"/>
  <c r="B41" i="1"/>
  <c r="N41" i="1" s="1"/>
  <c r="B31" i="1"/>
  <c r="N31" i="1" s="1"/>
  <c r="B33" i="1"/>
  <c r="N33" i="1" s="1"/>
  <c r="B40" i="1"/>
  <c r="N40" i="1" s="1"/>
  <c r="B51" i="1"/>
  <c r="N51" i="1" s="1"/>
  <c r="B17" i="1"/>
  <c r="C17" i="1" s="1"/>
  <c r="B20" i="1"/>
  <c r="N20" i="1" s="1"/>
  <c r="B25" i="1"/>
  <c r="N25" i="1" s="1"/>
  <c r="B13" i="1"/>
  <c r="C13" i="1" s="1"/>
  <c r="B53" i="1"/>
  <c r="C53" i="1" s="1"/>
  <c r="B15" i="1"/>
  <c r="N15" i="1" s="1"/>
  <c r="B26" i="1"/>
  <c r="N26" i="1" s="1"/>
  <c r="B39" i="1"/>
  <c r="N39" i="1" s="1"/>
  <c r="B8" i="1"/>
  <c r="C8" i="1" s="1"/>
  <c r="B9" i="1"/>
  <c r="N9" i="1" s="1"/>
  <c r="B11" i="1"/>
  <c r="C11" i="1" s="1"/>
  <c r="B18" i="1"/>
  <c r="N18" i="1" s="1"/>
  <c r="B35" i="1"/>
  <c r="N35" i="1" s="1"/>
  <c r="B43" i="1"/>
  <c r="N43" i="1" s="1"/>
  <c r="B46" i="1"/>
  <c r="C46" i="1" s="1"/>
  <c r="B44" i="1"/>
  <c r="N44" i="1" s="1"/>
  <c r="B27" i="1"/>
  <c r="C27" i="1" s="1"/>
  <c r="C52" i="1" l="1"/>
  <c r="C49" i="1"/>
  <c r="N46" i="1"/>
  <c r="N53" i="1"/>
  <c r="N12" i="1"/>
  <c r="N3" i="1"/>
  <c r="N48" i="1"/>
  <c r="C42" i="1"/>
  <c r="C35" i="1"/>
  <c r="C51" i="1"/>
  <c r="C10" i="1"/>
  <c r="E37" i="1"/>
  <c r="N13" i="1"/>
  <c r="N2" i="1"/>
  <c r="N38" i="1"/>
  <c r="N45" i="1"/>
  <c r="N7" i="1"/>
  <c r="N5" i="1"/>
  <c r="N30" i="1"/>
  <c r="C9" i="1"/>
  <c r="C31" i="1"/>
  <c r="N11" i="1"/>
  <c r="N17" i="1"/>
  <c r="N32" i="1"/>
  <c r="N19" i="1"/>
  <c r="C14" i="1"/>
  <c r="C33" i="1"/>
  <c r="C39" i="1"/>
  <c r="C41" i="1"/>
  <c r="N50" i="1"/>
  <c r="N22" i="1"/>
  <c r="C26" i="1"/>
  <c r="N8" i="1"/>
  <c r="N47" i="1"/>
  <c r="N36" i="1"/>
  <c r="N28" i="1"/>
  <c r="C44" i="1"/>
  <c r="N27" i="1"/>
  <c r="N24" i="1"/>
  <c r="N4" i="1"/>
  <c r="N23" i="1"/>
</calcChain>
</file>

<file path=xl/sharedStrings.xml><?xml version="1.0" encoding="utf-8"?>
<sst xmlns="http://schemas.openxmlformats.org/spreadsheetml/2006/main" count="241" uniqueCount="133">
  <si>
    <t>Product ID</t>
  </si>
  <si>
    <t>Brand</t>
  </si>
  <si>
    <t>Brand (Full Name)</t>
  </si>
  <si>
    <t>Product Line</t>
  </si>
  <si>
    <t>Product Line (Full Name)</t>
  </si>
  <si>
    <t>Manufacture Year</t>
  </si>
  <si>
    <t>Age</t>
  </si>
  <si>
    <t>Units Produced</t>
  </si>
  <si>
    <t>Units / Year</t>
  </si>
  <si>
    <t>Fabric Color</t>
  </si>
  <si>
    <t>Installer</t>
  </si>
  <si>
    <t>Warranty Units</t>
  </si>
  <si>
    <t>Covered?</t>
  </si>
  <si>
    <t>Replacement Product ID</t>
  </si>
  <si>
    <t>Black</t>
  </si>
  <si>
    <t>Smith</t>
  </si>
  <si>
    <t>White</t>
  </si>
  <si>
    <t>McCall</t>
  </si>
  <si>
    <t>Green</t>
  </si>
  <si>
    <t>Lyon</t>
  </si>
  <si>
    <t>Jones</t>
  </si>
  <si>
    <t>NC08CEL005</t>
  </si>
  <si>
    <t>Ewenty</t>
  </si>
  <si>
    <t>NC06ROL007</t>
  </si>
  <si>
    <t>NC09ROL008</t>
  </si>
  <si>
    <t>Howard</t>
  </si>
  <si>
    <t>NC13ROL009</t>
  </si>
  <si>
    <t>NC13ROL010</t>
  </si>
  <si>
    <t>Praulty</t>
  </si>
  <si>
    <t>NC12ROL011</t>
  </si>
  <si>
    <t>Yousef</t>
  </si>
  <si>
    <t>NC13ROL012</t>
  </si>
  <si>
    <t>Vizzini</t>
  </si>
  <si>
    <t>NC13ROL013</t>
  </si>
  <si>
    <t>Rodriguez</t>
  </si>
  <si>
    <t>Santos</t>
  </si>
  <si>
    <t>GB12WBL015</t>
  </si>
  <si>
    <t>Bard</t>
  </si>
  <si>
    <t>GB14WBL016</t>
  </si>
  <si>
    <t>Torrens</t>
  </si>
  <si>
    <t>GB10FWB017</t>
  </si>
  <si>
    <t>Hulinski</t>
  </si>
  <si>
    <t>Blue</t>
  </si>
  <si>
    <t>LV96RMN020</t>
  </si>
  <si>
    <t>Chan</t>
  </si>
  <si>
    <t>LV98RMN021</t>
  </si>
  <si>
    <t>Swartz</t>
  </si>
  <si>
    <t>LV02RMN023</t>
  </si>
  <si>
    <t>LV09RMN024</t>
  </si>
  <si>
    <t>LV02CRD025</t>
  </si>
  <si>
    <t>Red</t>
  </si>
  <si>
    <t>Gaul</t>
  </si>
  <si>
    <t>LV03CRD026</t>
  </si>
  <si>
    <t>LV14CRD027</t>
  </si>
  <si>
    <t>LV12CRD028</t>
  </si>
  <si>
    <t>LV12RMN029</t>
  </si>
  <si>
    <t>HT99SHR030</t>
  </si>
  <si>
    <t>HT01SHR031</t>
  </si>
  <si>
    <t>HT10SHR032</t>
  </si>
  <si>
    <t>HT10SHR033</t>
  </si>
  <si>
    <t>HT11SHR034</t>
  </si>
  <si>
    <t>HT12SHR035</t>
  </si>
  <si>
    <t>HT13SHR036</t>
  </si>
  <si>
    <t>HT07PLT038</t>
  </si>
  <si>
    <t>HT08PLT039</t>
  </si>
  <si>
    <t>HT14PLT041</t>
  </si>
  <si>
    <t>CF04SOL042</t>
  </si>
  <si>
    <t>CF07SOL043</t>
  </si>
  <si>
    <t>CF11SOL044</t>
  </si>
  <si>
    <t>CF99VRT045</t>
  </si>
  <si>
    <t>CF00VRT046</t>
  </si>
  <si>
    <t>CF04VRT047</t>
  </si>
  <si>
    <t>CF04VRT048</t>
  </si>
  <si>
    <t>BL11HCB049</t>
  </si>
  <si>
    <t>BL12HCB050</t>
  </si>
  <si>
    <t>BL13HCB051</t>
  </si>
  <si>
    <t>BL13HCB052</t>
  </si>
  <si>
    <t>NC</t>
  </si>
  <si>
    <t>Nocross</t>
  </si>
  <si>
    <t>GB</t>
  </si>
  <si>
    <t>Graber</t>
  </si>
  <si>
    <t>LV</t>
  </si>
  <si>
    <t>Levolor</t>
  </si>
  <si>
    <t>HT</t>
  </si>
  <si>
    <t>Hunter</t>
  </si>
  <si>
    <t>CF</t>
  </si>
  <si>
    <t>Comfortex</t>
  </si>
  <si>
    <t>BL</t>
  </si>
  <si>
    <t>Bali</t>
  </si>
  <si>
    <t>Lookup Table 2</t>
  </si>
  <si>
    <t>CEL</t>
  </si>
  <si>
    <t>WBL</t>
  </si>
  <si>
    <t>FWB</t>
  </si>
  <si>
    <t>RMN</t>
  </si>
  <si>
    <t>Cellular Shade</t>
  </si>
  <si>
    <t>ROL</t>
  </si>
  <si>
    <t>Roller Shade</t>
  </si>
  <si>
    <t>Wood Blind</t>
  </si>
  <si>
    <t>Faux Wood Blind</t>
  </si>
  <si>
    <t>Roman Shade</t>
  </si>
  <si>
    <t>CRD</t>
  </si>
  <si>
    <t>Cordless Shade</t>
  </si>
  <si>
    <t>SHR</t>
  </si>
  <si>
    <t>Sheer Shade</t>
  </si>
  <si>
    <t>PLT</t>
  </si>
  <si>
    <t>Pleated Shade</t>
  </si>
  <si>
    <t>SOL</t>
  </si>
  <si>
    <t>Solar Shade</t>
  </si>
  <si>
    <t>VRT</t>
  </si>
  <si>
    <t>Vertical Blind</t>
  </si>
  <si>
    <t>HCB</t>
  </si>
  <si>
    <t>Honeycomb Shade</t>
  </si>
  <si>
    <t>HT01PLT040</t>
  </si>
  <si>
    <t>NC16CEL001</t>
  </si>
  <si>
    <t>NC26CEL002</t>
  </si>
  <si>
    <t>NC18CEL003</t>
  </si>
  <si>
    <t>NC18CEL004</t>
  </si>
  <si>
    <t>GB19WBL014</t>
  </si>
  <si>
    <t>GB18FWB018</t>
  </si>
  <si>
    <t>GB20FWB019</t>
  </si>
  <si>
    <t>LV22RMN022</t>
  </si>
  <si>
    <t>NC06ROL006</t>
  </si>
  <si>
    <t>HT05PLT037</t>
  </si>
  <si>
    <t>Row Labels</t>
  </si>
  <si>
    <t>Grand Total</t>
  </si>
  <si>
    <t>Sum of Units Produced</t>
  </si>
  <si>
    <t>Units produced by product line</t>
  </si>
  <si>
    <t>Item Color</t>
  </si>
  <si>
    <t>Norman Inventory Dashboard</t>
  </si>
  <si>
    <t>Units by Color</t>
  </si>
  <si>
    <t>Covered</t>
  </si>
  <si>
    <t>Not Covered</t>
  </si>
  <si>
    <t>Lookup Table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</si>
</sst>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2E7D32"/>
      </left>
      <right style="medium">
        <color indexed="64"/>
      </right>
      <top style="thin">
        <color rgb="FF2E7D32"/>
      </top>
      <bottom style="thin">
        <color rgb="FF2E7D32"/>
      </bottom>
      <diagonal/>
    </border>
    <border>
      <left style="medium">
        <color indexed="64"/>
      </left>
      <right style="thin">
        <color rgb="FF2E7D32"/>
      </right>
      <top style="thin">
        <color rgb="FF2E7D32"/>
      </top>
      <bottom style="medium">
        <color indexed="64"/>
      </bottom>
      <diagonal/>
    </border>
    <border>
      <left style="thin">
        <color rgb="FF2E7D32"/>
      </left>
      <right style="medium">
        <color indexed="64"/>
      </right>
      <top style="thin">
        <color rgb="FF2E7D32"/>
      </top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13" xfId="0" applyBorder="1"/>
    <xf numFmtId="0" fontId="0" fillId="0" borderId="0" xfId="0" applyBorder="1"/>
    <xf numFmtId="43" fontId="0" fillId="0" borderId="0" xfId="1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43" fontId="0" fillId="0" borderId="16" xfId="1" applyFont="1" applyBorder="1"/>
    <xf numFmtId="0" fontId="0" fillId="0" borderId="17" xfId="0" applyBorder="1"/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4" borderId="0" xfId="0" applyFill="1"/>
    <xf numFmtId="0" fontId="0" fillId="34" borderId="12" xfId="0" applyFill="1" applyBorder="1"/>
    <xf numFmtId="0" fontId="0" fillId="34" borderId="18" xfId="0" applyFill="1" applyBorder="1"/>
    <xf numFmtId="0" fontId="0" fillId="34" borderId="19" xfId="0" applyFill="1" applyBorder="1"/>
    <xf numFmtId="0" fontId="0" fillId="34" borderId="20" xfId="0" applyFill="1" applyBorder="1"/>
    <xf numFmtId="0" fontId="0" fillId="34" borderId="21" xfId="0" applyFill="1" applyBorder="1"/>
    <xf numFmtId="0" fontId="18" fillId="34" borderId="10" xfId="0" applyFont="1" applyFill="1" applyBorder="1"/>
    <xf numFmtId="0" fontId="18" fillId="34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produced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Cellular Shade</c:v>
              </c:pt>
              <c:pt idx="1">
                <c:v>Cordless Shade</c:v>
              </c:pt>
              <c:pt idx="2">
                <c:v>Faux Wood Blind</c:v>
              </c:pt>
              <c:pt idx="3">
                <c:v>Honeycomb Shade</c:v>
              </c:pt>
              <c:pt idx="4">
                <c:v>Pleated Shade</c:v>
              </c:pt>
              <c:pt idx="5">
                <c:v>Roller Shade</c:v>
              </c:pt>
              <c:pt idx="6">
                <c:v>Roman Shade</c:v>
              </c:pt>
              <c:pt idx="7">
                <c:v>Sheer Shade</c:v>
              </c:pt>
              <c:pt idx="8">
                <c:v>Solar Shade</c:v>
              </c:pt>
              <c:pt idx="9">
                <c:v>Vertical Blind</c:v>
              </c:pt>
              <c:pt idx="10">
                <c:v>Wood Blind</c:v>
              </c:pt>
            </c:strLit>
          </c:cat>
          <c:val>
            <c:numLit>
              <c:formatCode>General</c:formatCode>
              <c:ptCount val="11"/>
              <c:pt idx="0">
                <c:v>204245.40000000002</c:v>
              </c:pt>
              <c:pt idx="1">
                <c:v>185069.99999999997</c:v>
              </c:pt>
              <c:pt idx="2">
                <c:v>194992.90000000002</c:v>
              </c:pt>
              <c:pt idx="3">
                <c:v>93796.700000000012</c:v>
              </c:pt>
              <c:pt idx="4">
                <c:v>226115.20000000001</c:v>
              </c:pt>
              <c:pt idx="5">
                <c:v>244396</c:v>
              </c:pt>
              <c:pt idx="6">
                <c:v>432042.70000000007</c:v>
              </c:pt>
              <c:pt idx="7">
                <c:v>277252.19999999995</c:v>
              </c:pt>
              <c:pt idx="8">
                <c:v>134010.4</c:v>
              </c:pt>
              <c:pt idx="9">
                <c:v>281890.30000000005</c:v>
              </c:pt>
              <c:pt idx="10">
                <c:v>62175.499999999993</c:v>
              </c:pt>
            </c:numLit>
          </c:val>
          <c:extLst>
            <c:ext xmlns:c16="http://schemas.microsoft.com/office/drawing/2014/chart" uri="{C3380CC4-5D6E-409C-BE32-E72D297353CC}">
              <c16:uniqueId val="{00000000-F8D2-5A4B-AA55-244F149BD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039231"/>
        <c:axId val="715820543"/>
      </c:barChart>
      <c:catAx>
        <c:axId val="73303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820543"/>
        <c:crosses val="autoZero"/>
        <c:auto val="1"/>
        <c:lblAlgn val="ctr"/>
        <c:lblOffset val="100"/>
        <c:noMultiLvlLbl val="0"/>
      </c:catAx>
      <c:valAx>
        <c:axId val="71582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03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[norman inventory.xlsx]Sheet1!PivotTable9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by Color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1666666666666664E-2"/>
          <c:y val="0.18097222222222226"/>
          <c:w val="0.81310673665791777"/>
          <c:h val="0.77736111111111106"/>
        </c:manualLayout>
      </c:layout>
      <c:pie3DChart>
        <c:varyColors val="1"/>
        <c:ser>
          <c:idx val="0"/>
          <c:order val="0"/>
          <c:tx>
            <c:strRef>
              <c:f>Sheet1!$E$40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Sheet1!$D$41:$D$46</c:f>
              <c:strCache>
                <c:ptCount val="5"/>
                <c:pt idx="0">
                  <c:v>Black</c:v>
                </c:pt>
                <c:pt idx="1">
                  <c:v>Blue</c:v>
                </c:pt>
                <c:pt idx="2">
                  <c:v>Green</c:v>
                </c:pt>
                <c:pt idx="3">
                  <c:v>Red</c:v>
                </c:pt>
                <c:pt idx="4">
                  <c:v>White</c:v>
                </c:pt>
              </c:strCache>
            </c:strRef>
          </c:cat>
          <c:val>
            <c:numRef>
              <c:f>Sheet1!$E$41:$E$46</c:f>
              <c:numCache>
                <c:formatCode>_(* #,##0.00_);_(* \(#,##0.00\);_(* "-"??_);_(@_)</c:formatCode>
                <c:ptCount val="5"/>
                <c:pt idx="0">
                  <c:v>954448.29999999993</c:v>
                </c:pt>
                <c:pt idx="1">
                  <c:v>321847.7</c:v>
                </c:pt>
                <c:pt idx="2">
                  <c:v>465570.80000000005</c:v>
                </c:pt>
                <c:pt idx="3">
                  <c:v>117166.8</c:v>
                </c:pt>
                <c:pt idx="4">
                  <c:v>476953.7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8-AE46-B182-B63113EA7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[norman inventory.xlsx]Sheet1!PivotTable10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Warranty Covered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227362204724411"/>
          <c:y val="0.23129337999416741"/>
          <c:w val="0.40047572178477692"/>
          <c:h val="0.66745953630796151"/>
        </c:manualLayout>
      </c:layout>
      <c:pieChart>
        <c:varyColors val="1"/>
        <c:ser>
          <c:idx val="0"/>
          <c:order val="0"/>
          <c:tx>
            <c:strRef>
              <c:f>Sheet1!$E$62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Sheet1!$D$63:$D$65</c:f>
              <c:strCache>
                <c:ptCount val="2"/>
                <c:pt idx="0">
                  <c:v>Covered</c:v>
                </c:pt>
                <c:pt idx="1">
                  <c:v>Not Covered</c:v>
                </c:pt>
              </c:strCache>
            </c:strRef>
          </c:cat>
          <c:val>
            <c:numRef>
              <c:f>Sheet1!$E$63:$E$65</c:f>
              <c:numCache>
                <c:formatCode>_(* #,##0.00_);_(* \(#,##0.00\);_(* "-"??_);_(@_)</c:formatCode>
                <c:ptCount val="2"/>
                <c:pt idx="0">
                  <c:v>1982288.9999999995</c:v>
                </c:pt>
                <c:pt idx="1">
                  <c:v>353698.30000000005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0-1D4E-B5FA-570E8F54B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norman_inventory!$H$1</c:f>
              <c:strCache>
                <c:ptCount val="1"/>
                <c:pt idx="0">
                  <c:v>Units Produced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norman_inventory!$G$2:$G$53</c:f>
              <c:numCache>
                <c:formatCode>General</c:formatCode>
                <c:ptCount val="52"/>
                <c:pt idx="0">
                  <c:v>30</c:v>
                </c:pt>
                <c:pt idx="1">
                  <c:v>28</c:v>
                </c:pt>
                <c:pt idx="2">
                  <c:v>4</c:v>
                </c:pt>
                <c:pt idx="3">
                  <c:v>8</c:v>
                </c:pt>
                <c:pt idx="4">
                  <c:v>27</c:v>
                </c:pt>
                <c:pt idx="5">
                  <c:v>6</c:v>
                </c:pt>
                <c:pt idx="6">
                  <c:v>27</c:v>
                </c:pt>
                <c:pt idx="7">
                  <c:v>26</c:v>
                </c:pt>
                <c:pt idx="8">
                  <c:v>23</c:v>
                </c:pt>
                <c:pt idx="9">
                  <c:v>22</c:v>
                </c:pt>
                <c:pt idx="10">
                  <c:v>25</c:v>
                </c:pt>
                <c:pt idx="11">
                  <c:v>25</c:v>
                </c:pt>
                <c:pt idx="12">
                  <c:v>24</c:v>
                </c:pt>
                <c:pt idx="13">
                  <c:v>22</c:v>
                </c:pt>
                <c:pt idx="14">
                  <c:v>24</c:v>
                </c:pt>
                <c:pt idx="15">
                  <c:v>21</c:v>
                </c:pt>
                <c:pt idx="16">
                  <c:v>22</c:v>
                </c:pt>
                <c:pt idx="17">
                  <c:v>20</c:v>
                </c:pt>
                <c:pt idx="18">
                  <c:v>19</c:v>
                </c:pt>
                <c:pt idx="19">
                  <c:v>17</c:v>
                </c:pt>
                <c:pt idx="20">
                  <c:v>20</c:v>
                </c:pt>
                <c:pt idx="21">
                  <c:v>0</c:v>
                </c:pt>
                <c:pt idx="22">
                  <c:v>8</c:v>
                </c:pt>
                <c:pt idx="23">
                  <c:v>18</c:v>
                </c:pt>
                <c:pt idx="24">
                  <c:v>19</c:v>
                </c:pt>
                <c:pt idx="25">
                  <c:v>10</c:v>
                </c:pt>
                <c:pt idx="26">
                  <c:v>8</c:v>
                </c:pt>
                <c:pt idx="27">
                  <c:v>18</c:v>
                </c:pt>
                <c:pt idx="28">
                  <c:v>17</c:v>
                </c:pt>
                <c:pt idx="29">
                  <c:v>16</c:v>
                </c:pt>
                <c:pt idx="30">
                  <c:v>16</c:v>
                </c:pt>
                <c:pt idx="31">
                  <c:v>15</c:v>
                </c:pt>
                <c:pt idx="32">
                  <c:v>14</c:v>
                </c:pt>
                <c:pt idx="33">
                  <c:v>15</c:v>
                </c:pt>
                <c:pt idx="34">
                  <c:v>7</c:v>
                </c:pt>
                <c:pt idx="35">
                  <c:v>13</c:v>
                </c:pt>
                <c:pt idx="36">
                  <c:v>13</c:v>
                </c:pt>
                <c:pt idx="37">
                  <c:v>15</c:v>
                </c:pt>
                <c:pt idx="38">
                  <c:v>14</c:v>
                </c:pt>
                <c:pt idx="39">
                  <c:v>16</c:v>
                </c:pt>
                <c:pt idx="40">
                  <c:v>13</c:v>
                </c:pt>
                <c:pt idx="41">
                  <c:v>14</c:v>
                </c:pt>
                <c:pt idx="42">
                  <c:v>13</c:v>
                </c:pt>
                <c:pt idx="43">
                  <c:v>14</c:v>
                </c:pt>
                <c:pt idx="44">
                  <c:v>13</c:v>
                </c:pt>
                <c:pt idx="45">
                  <c:v>14</c:v>
                </c:pt>
                <c:pt idx="46">
                  <c:v>14</c:v>
                </c:pt>
                <c:pt idx="47">
                  <c:v>12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12</c:v>
                </c:pt>
              </c:numCache>
            </c:numRef>
          </c:xVal>
          <c:yVal>
            <c:numRef>
              <c:f>norman_inventory!$H$2:$H$53</c:f>
              <c:numCache>
                <c:formatCode>_(* #,##0.00_);_(* \(#,##0.00\);_(* "-"??_);_(@_)</c:formatCode>
                <c:ptCount val="52"/>
                <c:pt idx="0">
                  <c:v>114660.6</c:v>
                </c:pt>
                <c:pt idx="1">
                  <c:v>93382.6</c:v>
                </c:pt>
                <c:pt idx="2">
                  <c:v>85928</c:v>
                </c:pt>
                <c:pt idx="3">
                  <c:v>83162.7</c:v>
                </c:pt>
                <c:pt idx="4">
                  <c:v>82374</c:v>
                </c:pt>
                <c:pt idx="5">
                  <c:v>80685.8</c:v>
                </c:pt>
                <c:pt idx="6">
                  <c:v>79420.600000000006</c:v>
                </c:pt>
                <c:pt idx="7">
                  <c:v>77243.100000000006</c:v>
                </c:pt>
                <c:pt idx="8">
                  <c:v>73444.399999999994</c:v>
                </c:pt>
                <c:pt idx="9">
                  <c:v>72527.199999999997</c:v>
                </c:pt>
                <c:pt idx="10">
                  <c:v>69891.899999999994</c:v>
                </c:pt>
                <c:pt idx="11">
                  <c:v>68658.899999999994</c:v>
                </c:pt>
                <c:pt idx="12">
                  <c:v>67829.100000000006</c:v>
                </c:pt>
                <c:pt idx="13">
                  <c:v>64542</c:v>
                </c:pt>
                <c:pt idx="14">
                  <c:v>64467.4</c:v>
                </c:pt>
                <c:pt idx="15">
                  <c:v>60389.5</c:v>
                </c:pt>
                <c:pt idx="16">
                  <c:v>52699.4</c:v>
                </c:pt>
                <c:pt idx="17">
                  <c:v>52229.5</c:v>
                </c:pt>
                <c:pt idx="18">
                  <c:v>50854.1</c:v>
                </c:pt>
                <c:pt idx="19">
                  <c:v>48114.2</c:v>
                </c:pt>
                <c:pt idx="20">
                  <c:v>46311.4</c:v>
                </c:pt>
                <c:pt idx="21">
                  <c:v>44974.8</c:v>
                </c:pt>
                <c:pt idx="22">
                  <c:v>44946.5</c:v>
                </c:pt>
                <c:pt idx="23">
                  <c:v>42504.6</c:v>
                </c:pt>
                <c:pt idx="24">
                  <c:v>42074.2</c:v>
                </c:pt>
                <c:pt idx="25">
                  <c:v>40326.800000000003</c:v>
                </c:pt>
                <c:pt idx="26">
                  <c:v>37558.800000000003</c:v>
                </c:pt>
                <c:pt idx="27">
                  <c:v>36438.5</c:v>
                </c:pt>
                <c:pt idx="28">
                  <c:v>35137</c:v>
                </c:pt>
                <c:pt idx="29">
                  <c:v>33477.199999999997</c:v>
                </c:pt>
                <c:pt idx="30">
                  <c:v>31144.400000000001</c:v>
                </c:pt>
                <c:pt idx="31">
                  <c:v>30555.3</c:v>
                </c:pt>
                <c:pt idx="32">
                  <c:v>29601.9</c:v>
                </c:pt>
                <c:pt idx="33">
                  <c:v>29102.3</c:v>
                </c:pt>
                <c:pt idx="34">
                  <c:v>28464.799999999999</c:v>
                </c:pt>
                <c:pt idx="35">
                  <c:v>27637.1</c:v>
                </c:pt>
                <c:pt idx="36">
                  <c:v>27534.799999999999</c:v>
                </c:pt>
                <c:pt idx="37">
                  <c:v>27394.2</c:v>
                </c:pt>
                <c:pt idx="38">
                  <c:v>24513.200000000001</c:v>
                </c:pt>
                <c:pt idx="39">
                  <c:v>22573</c:v>
                </c:pt>
                <c:pt idx="40">
                  <c:v>22521.599999999999</c:v>
                </c:pt>
                <c:pt idx="41">
                  <c:v>22282</c:v>
                </c:pt>
                <c:pt idx="42">
                  <c:v>22188.5</c:v>
                </c:pt>
                <c:pt idx="43">
                  <c:v>22128.2</c:v>
                </c:pt>
                <c:pt idx="44">
                  <c:v>20223.900000000001</c:v>
                </c:pt>
                <c:pt idx="45">
                  <c:v>19421.099999999999</c:v>
                </c:pt>
                <c:pt idx="46">
                  <c:v>19341.7</c:v>
                </c:pt>
                <c:pt idx="47">
                  <c:v>17556.3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C8-8441-BFF8-047FF52E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597183"/>
        <c:axId val="717598079"/>
      </c:scatterChart>
      <c:valAx>
        <c:axId val="7175971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 Manufactured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17598079"/>
        <c:crosses val="autoZero"/>
        <c:crossBetween val="midCat"/>
      </c:valAx>
      <c:valAx>
        <c:axId val="71759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Units Produced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9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406400</xdr:colOff>
      <xdr:row>20</xdr:row>
      <xdr:rowOff>165100</xdr:rowOff>
    </xdr:from>
    <xdr:to>
      <xdr:col>9</xdr:col>
      <xdr:colOff>393700</xdr:colOff>
      <xdr:row>34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4BE51-F1FF-F14A-B18C-9EBEE53D2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349250</xdr:colOff>
      <xdr:row>35</xdr:row>
      <xdr:rowOff>120650</xdr:rowOff>
    </xdr:from>
    <xdr:to>
      <xdr:col>9</xdr:col>
      <xdr:colOff>336550</xdr:colOff>
      <xdr:row>49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58ABE8-07B4-DC5D-5307-30E2A2D91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298450</xdr:colOff>
      <xdr:row>37</xdr:row>
      <xdr:rowOff>82550</xdr:rowOff>
    </xdr:from>
    <xdr:to>
      <xdr:col>17</xdr:col>
      <xdr:colOff>742950</xdr:colOff>
      <xdr:row>50</xdr:row>
      <xdr:rowOff>184150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70D946-2E96-F300-FF7F-61EA7686E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349250</xdr:colOff>
      <xdr:row>54</xdr:row>
      <xdr:rowOff>63500</xdr:rowOff>
    </xdr:from>
    <xdr:to>
      <xdr:col>13</xdr:col>
      <xdr:colOff>381000</xdr:colOff>
      <xdr:row>69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4CA73-E734-59B2-D105-147C2D22E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id Kamil" refreshedDate="46194.470695023148" createdVersion="8" refreshedVersion="8" minRefreshableVersion="3" recordCount="52" xr:uid="{9AE51BDD-17A1-EC4A-99AA-40336C94E503}">
  <cacheSource type="worksheet">
    <worksheetSource ref="A1:N53" sheet="norman_inventory"/>
  </cacheSource>
  <cacheFields count="14">
    <cacheField name="Product ID" numFmtId="0">
      <sharedItems/>
    </cacheField>
    <cacheField name="Brand" numFmtId="0">
      <sharedItems/>
    </cacheField>
    <cacheField name="Brand (Full Name)" numFmtId="0">
      <sharedItems count="6">
        <s v="Nocross"/>
        <s v="Graber"/>
        <s v="Levolor"/>
        <s v="Hunter"/>
        <s v="Comfortex"/>
        <s v="Bali"/>
      </sharedItems>
    </cacheField>
    <cacheField name="Product Line" numFmtId="0">
      <sharedItems count="11">
        <s v="CEL"/>
        <s v="ROL"/>
        <s v="WBL"/>
        <s v="FWB"/>
        <s v="RMN"/>
        <s v="CRD"/>
        <s v="SHR"/>
        <s v="PLT"/>
        <s v="SOL"/>
        <s v="VRT"/>
        <s v="HCB"/>
      </sharedItems>
    </cacheField>
    <cacheField name="Product Line (Full Name)" numFmtId="0">
      <sharedItems count="11">
        <s v="Cellular Shade"/>
        <s v="Roller Shade"/>
        <s v="Wood Blind"/>
        <s v="Faux Wood Blind"/>
        <s v="Roman Shade"/>
        <s v="Cordless Shade"/>
        <s v="Sheer Shade"/>
        <s v="Pleated Shade"/>
        <s v="Solar Shade"/>
        <s v="Vertical Blind"/>
        <s v="Honeycomb Shade"/>
      </sharedItems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30"/>
    </cacheField>
    <cacheField name="Units Produced" numFmtId="43">
      <sharedItems containsSemiMixedTypes="0" containsString="0" containsNumber="1" minValue="3708.1" maxValue="114660.6"/>
    </cacheField>
    <cacheField name="Units / Year" numFmtId="43">
      <sharedItems containsSemiMixedTypes="0" containsString="0" containsNumber="1" minValue="296.64799999999997" maxValue="89949.6"/>
    </cacheField>
    <cacheField name="Fabric Color" numFmtId="0">
      <sharedItems count="5">
        <s v="Black"/>
        <s v="White"/>
        <s v="Green"/>
        <s v="Blue"/>
        <s v="Red"/>
      </sharedItems>
    </cacheField>
    <cacheField name="Install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ranty Units" numFmtId="0">
      <sharedItems containsSemiMixedTypes="0" containsString="0" containsNumber="1" containsInteger="1" minValue="50000" maxValue="100000"/>
    </cacheField>
    <cacheField name="Covered?" numFmtId="0">
      <sharedItems count="2">
        <s v="Covered"/>
        <s v="Not Covered"/>
      </sharedItems>
    </cacheField>
    <cacheField name="Replacement Product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NC16CEL001"/>
    <s v="NC"/>
    <x v="0"/>
    <x v="0"/>
    <x v="0"/>
    <s v="16"/>
    <n v="10"/>
    <n v="40326.800000000003"/>
    <n v="3840.6476190476192"/>
    <x v="0"/>
    <x v="0"/>
    <n v="50000"/>
    <x v="0"/>
    <s v="NC16CELBLA001"/>
  </r>
  <r>
    <s v="NC26CEL002"/>
    <s v="NC"/>
    <x v="0"/>
    <x v="0"/>
    <x v="0"/>
    <s v="26"/>
    <n v="0"/>
    <n v="44974.8"/>
    <n v="89949.6"/>
    <x v="1"/>
    <x v="1"/>
    <n v="50000"/>
    <x v="0"/>
    <s v="NC26CELWHI002"/>
  </r>
  <r>
    <s v="NC18CEL003"/>
    <s v="NC"/>
    <x v="0"/>
    <x v="0"/>
    <x v="0"/>
    <s v="18"/>
    <n v="8"/>
    <n v="44946.5"/>
    <n v="5287.8235294117649"/>
    <x v="2"/>
    <x v="2"/>
    <n v="50000"/>
    <x v="0"/>
    <s v="NC18CELGRE003"/>
  </r>
  <r>
    <s v="NC18CEL004"/>
    <s v="NC"/>
    <x v="0"/>
    <x v="0"/>
    <x v="0"/>
    <s v="18"/>
    <n v="8"/>
    <n v="37558.800000000003"/>
    <n v="4418.6823529411768"/>
    <x v="0"/>
    <x v="3"/>
    <n v="50000"/>
    <x v="0"/>
    <s v="NC18CELBLA004"/>
  </r>
  <r>
    <s v="NC08CEL005"/>
    <s v="NC"/>
    <x v="0"/>
    <x v="0"/>
    <x v="0"/>
    <s v="08"/>
    <n v="18"/>
    <n v="36438.5"/>
    <n v="1969.6486486486488"/>
    <x v="1"/>
    <x v="0"/>
    <n v="50000"/>
    <x v="0"/>
    <s v="NC08CELWHI005"/>
  </r>
  <r>
    <s v="NC06ROL006"/>
    <s v="NC"/>
    <x v="0"/>
    <x v="1"/>
    <x v="1"/>
    <s v="06"/>
    <n v="20"/>
    <n v="46311.4"/>
    <n v="2259.0926829268292"/>
    <x v="2"/>
    <x v="4"/>
    <n v="75000"/>
    <x v="0"/>
    <s v="NC06ROLGRE006"/>
  </r>
  <r>
    <s v="NC06ROL007"/>
    <s v="NC"/>
    <x v="0"/>
    <x v="1"/>
    <x v="1"/>
    <s v="06"/>
    <n v="20"/>
    <n v="52229.5"/>
    <n v="2547.7804878048782"/>
    <x v="2"/>
    <x v="2"/>
    <n v="75000"/>
    <x v="0"/>
    <s v="NC06ROLGRE007"/>
  </r>
  <r>
    <s v="NC09ROL008"/>
    <s v="NC"/>
    <x v="0"/>
    <x v="1"/>
    <x v="1"/>
    <s v="09"/>
    <n v="17"/>
    <n v="35137"/>
    <n v="2007.8285714285714"/>
    <x v="0"/>
    <x v="5"/>
    <n v="75000"/>
    <x v="0"/>
    <s v="NC09ROLBLA008"/>
  </r>
  <r>
    <s v="NC13ROL009"/>
    <s v="NC"/>
    <x v="0"/>
    <x v="1"/>
    <x v="1"/>
    <s v="13"/>
    <n v="13"/>
    <n v="27637.1"/>
    <n v="2047.1925925925925"/>
    <x v="0"/>
    <x v="0"/>
    <n v="75000"/>
    <x v="0"/>
    <s v="NC13ROLBLA009"/>
  </r>
  <r>
    <s v="NC13ROL010"/>
    <s v="NC"/>
    <x v="0"/>
    <x v="1"/>
    <x v="1"/>
    <s v="13"/>
    <n v="13"/>
    <n v="27534.799999999999"/>
    <n v="2039.6148148148147"/>
    <x v="1"/>
    <x v="6"/>
    <n v="75000"/>
    <x v="0"/>
    <s v="NC13ROLWHI010"/>
  </r>
  <r>
    <s v="NC12ROL011"/>
    <s v="NC"/>
    <x v="0"/>
    <x v="1"/>
    <x v="1"/>
    <s v="12"/>
    <n v="14"/>
    <n v="19341.7"/>
    <n v="1333.9103448275862"/>
    <x v="1"/>
    <x v="7"/>
    <n v="75000"/>
    <x v="0"/>
    <s v="NC12ROLWHI011"/>
  </r>
  <r>
    <s v="NC13ROL012"/>
    <s v="NC"/>
    <x v="0"/>
    <x v="1"/>
    <x v="1"/>
    <s v="13"/>
    <n v="13"/>
    <n v="22521.599999999999"/>
    <n v="1668.2666666666667"/>
    <x v="0"/>
    <x v="8"/>
    <n v="75000"/>
    <x v="0"/>
    <s v="NC13ROLBLA012"/>
  </r>
  <r>
    <s v="NC13ROL013"/>
    <s v="NC"/>
    <x v="0"/>
    <x v="1"/>
    <x v="1"/>
    <s v="13"/>
    <n v="13"/>
    <n v="13682.9"/>
    <n v="1013.5481481481481"/>
    <x v="0"/>
    <x v="9"/>
    <n v="75000"/>
    <x v="0"/>
    <s v="NC13ROLBLA013"/>
  </r>
  <r>
    <s v="GB19WBL014"/>
    <s v="GB"/>
    <x v="1"/>
    <x v="2"/>
    <x v="2"/>
    <s v="19"/>
    <n v="7"/>
    <n v="28464.799999999999"/>
    <n v="3795.3066666666664"/>
    <x v="1"/>
    <x v="10"/>
    <n v="100000"/>
    <x v="0"/>
    <s v="GB19WBLWHI014"/>
  </r>
  <r>
    <s v="GB12WBL015"/>
    <s v="GB"/>
    <x v="1"/>
    <x v="2"/>
    <x v="2"/>
    <s v="12"/>
    <n v="14"/>
    <n v="19421.099999999999"/>
    <n v="1339.3862068965516"/>
    <x v="0"/>
    <x v="11"/>
    <n v="100000"/>
    <x v="0"/>
    <s v="GB12WBLBLA015"/>
  </r>
  <r>
    <s v="GB14WBL016"/>
    <s v="GB"/>
    <x v="1"/>
    <x v="2"/>
    <x v="2"/>
    <s v="14"/>
    <n v="12"/>
    <n v="14289.6"/>
    <n v="1143.1680000000001"/>
    <x v="1"/>
    <x v="12"/>
    <n v="100000"/>
    <x v="0"/>
    <s v="GB14WBLWHI016"/>
  </r>
  <r>
    <s v="GB10FWB017"/>
    <s v="GB"/>
    <x v="1"/>
    <x v="3"/>
    <x v="3"/>
    <s v="10"/>
    <n v="16"/>
    <n v="31144.400000000001"/>
    <n v="1887.5393939393941"/>
    <x v="0"/>
    <x v="13"/>
    <n v="100000"/>
    <x v="0"/>
    <s v="GB10FWBBLA017"/>
  </r>
  <r>
    <s v="GB18FWB018"/>
    <s v="GB"/>
    <x v="1"/>
    <x v="3"/>
    <x v="3"/>
    <s v="18"/>
    <n v="8"/>
    <n v="83162.7"/>
    <n v="9783.8470588235286"/>
    <x v="0"/>
    <x v="10"/>
    <n v="100000"/>
    <x v="0"/>
    <s v="GB18FWBBLA018"/>
  </r>
  <r>
    <s v="GB20FWB019"/>
    <s v="GB"/>
    <x v="1"/>
    <x v="3"/>
    <x v="3"/>
    <s v="20"/>
    <n v="6"/>
    <n v="80685.8"/>
    <n v="12413.2"/>
    <x v="3"/>
    <x v="8"/>
    <n v="100000"/>
    <x v="0"/>
    <s v="GB20FWBBLU019"/>
  </r>
  <r>
    <s v="LV96RMN020"/>
    <s v="LV"/>
    <x v="2"/>
    <x v="4"/>
    <x v="4"/>
    <s v="96"/>
    <n v="30"/>
    <n v="114660.6"/>
    <n v="3759.3639344262297"/>
    <x v="2"/>
    <x v="14"/>
    <n v="100000"/>
    <x v="1"/>
    <s v="LV96RMNGRE020"/>
  </r>
  <r>
    <s v="LV98RMN021"/>
    <s v="LV"/>
    <x v="2"/>
    <x v="4"/>
    <x v="4"/>
    <s v="98"/>
    <n v="28"/>
    <n v="93382.6"/>
    <n v="3276.582456140351"/>
    <x v="0"/>
    <x v="15"/>
    <n v="100000"/>
    <x v="0"/>
    <s v="LV98RMNBLA021"/>
  </r>
  <r>
    <s v="LV22RMN022"/>
    <s v="LV"/>
    <x v="2"/>
    <x v="4"/>
    <x v="4"/>
    <s v="22"/>
    <n v="4"/>
    <n v="85928"/>
    <n v="19095.111111111109"/>
    <x v="2"/>
    <x v="4"/>
    <n v="100000"/>
    <x v="0"/>
    <s v="LV22RMNGRE022"/>
  </r>
  <r>
    <s v="LV02RMN023"/>
    <s v="LV"/>
    <x v="2"/>
    <x v="4"/>
    <x v="4"/>
    <s v="02"/>
    <n v="24"/>
    <n v="67829.100000000006"/>
    <n v="2768.534693877551"/>
    <x v="0"/>
    <x v="0"/>
    <n v="100000"/>
    <x v="0"/>
    <s v="LV02RMNBLA023"/>
  </r>
  <r>
    <s v="LV09RMN024"/>
    <s v="LV"/>
    <x v="2"/>
    <x v="4"/>
    <x v="4"/>
    <s v="09"/>
    <n v="17"/>
    <n v="48114.2"/>
    <n v="2749.3828571428571"/>
    <x v="1"/>
    <x v="5"/>
    <n v="100000"/>
    <x v="0"/>
    <s v="LV09RMNWHI024"/>
  </r>
  <r>
    <s v="LV02CRD025"/>
    <s v="LV"/>
    <x v="2"/>
    <x v="5"/>
    <x v="5"/>
    <s v="02"/>
    <n v="24"/>
    <n v="64467.4"/>
    <n v="2631.3224489795921"/>
    <x v="4"/>
    <x v="16"/>
    <n v="100000"/>
    <x v="0"/>
    <s v="LV02CRDRED025"/>
  </r>
  <r>
    <s v="LV03CRD026"/>
    <s v="LV"/>
    <x v="2"/>
    <x v="5"/>
    <x v="5"/>
    <s v="03"/>
    <n v="23"/>
    <n v="73444.399999999994"/>
    <n v="3125.2936170212765"/>
    <x v="0"/>
    <x v="16"/>
    <n v="100000"/>
    <x v="0"/>
    <s v="LV03CRDBLA026"/>
  </r>
  <r>
    <s v="LV14CRD027"/>
    <s v="LV"/>
    <x v="2"/>
    <x v="5"/>
    <x v="5"/>
    <s v="14"/>
    <n v="12"/>
    <n v="17556.3"/>
    <n v="1404.5039999999999"/>
    <x v="3"/>
    <x v="6"/>
    <n v="100000"/>
    <x v="0"/>
    <s v="LV14CRDBLU027"/>
  </r>
  <r>
    <s v="LV12CRD028"/>
    <s v="LV"/>
    <x v="2"/>
    <x v="5"/>
    <x v="5"/>
    <s v="12"/>
    <n v="14"/>
    <n v="29601.9"/>
    <n v="2041.5103448275863"/>
    <x v="0"/>
    <x v="10"/>
    <n v="100000"/>
    <x v="0"/>
    <s v="LV12CRDBLA028"/>
  </r>
  <r>
    <s v="LV12RMN029"/>
    <s v="LV"/>
    <x v="2"/>
    <x v="4"/>
    <x v="4"/>
    <s v="12"/>
    <n v="14"/>
    <n v="22128.2"/>
    <n v="1526.0827586206897"/>
    <x v="3"/>
    <x v="14"/>
    <n v="100000"/>
    <x v="0"/>
    <s v="LV12RMNBLU029"/>
  </r>
  <r>
    <s v="HT99SHR030"/>
    <s v="HT"/>
    <x v="3"/>
    <x v="6"/>
    <x v="6"/>
    <s v="99"/>
    <n v="27"/>
    <n v="82374"/>
    <n v="2995.4181818181819"/>
    <x v="1"/>
    <x v="9"/>
    <n v="75000"/>
    <x v="1"/>
    <s v="HT99SHRWHI030"/>
  </r>
  <r>
    <s v="HT01SHR031"/>
    <s v="HT"/>
    <x v="3"/>
    <x v="6"/>
    <x v="6"/>
    <s v="01"/>
    <n v="25"/>
    <n v="69891.899999999994"/>
    <n v="2740.8588235294114"/>
    <x v="3"/>
    <x v="3"/>
    <n v="75000"/>
    <x v="0"/>
    <s v="HT01SHRBLU031"/>
  </r>
  <r>
    <s v="HT10SHR032"/>
    <s v="HT"/>
    <x v="3"/>
    <x v="6"/>
    <x v="6"/>
    <s v="10"/>
    <n v="16"/>
    <n v="22573"/>
    <n v="1368.060606060606"/>
    <x v="3"/>
    <x v="12"/>
    <n v="75000"/>
    <x v="0"/>
    <s v="HT10SHRBLU032"/>
  </r>
  <r>
    <s v="HT10SHR033"/>
    <s v="HT"/>
    <x v="3"/>
    <x v="6"/>
    <x v="6"/>
    <s v="10"/>
    <n v="16"/>
    <n v="33477.199999999997"/>
    <n v="2028.921212121212"/>
    <x v="0"/>
    <x v="15"/>
    <n v="75000"/>
    <x v="0"/>
    <s v="HT10SHRBLA033"/>
  </r>
  <r>
    <s v="HT11SHR034"/>
    <s v="HT"/>
    <x v="3"/>
    <x v="6"/>
    <x v="6"/>
    <s v="11"/>
    <n v="15"/>
    <n v="30555.3"/>
    <n v="1971.3096774193548"/>
    <x v="0"/>
    <x v="2"/>
    <n v="75000"/>
    <x v="0"/>
    <s v="HT11SHRBLA034"/>
  </r>
  <r>
    <s v="HT12SHR035"/>
    <s v="HT"/>
    <x v="3"/>
    <x v="6"/>
    <x v="6"/>
    <s v="12"/>
    <n v="14"/>
    <n v="24513.200000000001"/>
    <n v="1690.5655172413794"/>
    <x v="0"/>
    <x v="13"/>
    <n v="75000"/>
    <x v="0"/>
    <s v="HT12SHRBLA035"/>
  </r>
  <r>
    <s v="HT13SHR036"/>
    <s v="HT"/>
    <x v="3"/>
    <x v="6"/>
    <x v="6"/>
    <s v="13"/>
    <n v="13"/>
    <n v="13867.6"/>
    <n v="1027.2296296296297"/>
    <x v="0"/>
    <x v="14"/>
    <n v="75000"/>
    <x v="0"/>
    <s v="HT13SHRBLA036"/>
  </r>
  <r>
    <s v="HT05PLT037"/>
    <s v="HT"/>
    <x v="3"/>
    <x v="7"/>
    <x v="7"/>
    <s v="05"/>
    <n v="21"/>
    <n v="60389.5"/>
    <n v="2808.8139534883721"/>
    <x v="1"/>
    <x v="5"/>
    <n v="100000"/>
    <x v="0"/>
    <s v="HT05PLTWHI037"/>
  </r>
  <r>
    <s v="HT07PLT038"/>
    <s v="HT"/>
    <x v="3"/>
    <x v="7"/>
    <x v="7"/>
    <s v="07"/>
    <n v="19"/>
    <n v="50854.1"/>
    <n v="2607.9025641025642"/>
    <x v="0"/>
    <x v="15"/>
    <n v="100000"/>
    <x v="0"/>
    <s v="HT07PLTBLA038"/>
  </r>
  <r>
    <s v="HT08PLT039"/>
    <s v="HT"/>
    <x v="3"/>
    <x v="7"/>
    <x v="7"/>
    <s v="08"/>
    <n v="18"/>
    <n v="42504.6"/>
    <n v="2297.5459459459457"/>
    <x v="1"/>
    <x v="9"/>
    <n v="100000"/>
    <x v="0"/>
    <s v="HT08PLTWHI039"/>
  </r>
  <r>
    <s v="HT01PLT040"/>
    <s v="HT"/>
    <x v="3"/>
    <x v="7"/>
    <x v="7"/>
    <s v="01"/>
    <n v="25"/>
    <n v="68658.899999999994"/>
    <n v="2692.5058823529412"/>
    <x v="0"/>
    <x v="0"/>
    <n v="100000"/>
    <x v="0"/>
    <s v="HT01PLTBLA040"/>
  </r>
  <r>
    <s v="HT14PLT041"/>
    <s v="HT"/>
    <x v="3"/>
    <x v="7"/>
    <x v="7"/>
    <s v="14"/>
    <n v="12"/>
    <n v="3708.1"/>
    <n v="296.64799999999997"/>
    <x v="0"/>
    <x v="1"/>
    <n v="100000"/>
    <x v="0"/>
    <s v="HT14PLTBLA041"/>
  </r>
  <r>
    <s v="CF04SOL042"/>
    <s v="CF"/>
    <x v="4"/>
    <x v="8"/>
    <x v="8"/>
    <s v="04"/>
    <n v="22"/>
    <n v="64542"/>
    <n v="2868.5333333333333"/>
    <x v="3"/>
    <x v="0"/>
    <n v="75000"/>
    <x v="0"/>
    <s v="CF04SOLBLU042"/>
  </r>
  <r>
    <s v="CF07SOL043"/>
    <s v="CF"/>
    <x v="4"/>
    <x v="8"/>
    <x v="8"/>
    <s v="07"/>
    <n v="19"/>
    <n v="42074.2"/>
    <n v="2157.6512820512821"/>
    <x v="2"/>
    <x v="16"/>
    <n v="75000"/>
    <x v="0"/>
    <s v="CF07SOLGRE043"/>
  </r>
  <r>
    <s v="CF11SOL044"/>
    <s v="CF"/>
    <x v="4"/>
    <x v="8"/>
    <x v="8"/>
    <s v="11"/>
    <n v="15"/>
    <n v="27394.2"/>
    <n v="1767.367741935484"/>
    <x v="0"/>
    <x v="8"/>
    <n v="75000"/>
    <x v="0"/>
    <s v="CF11SOLBLA044"/>
  </r>
  <r>
    <s v="CF99VRT045"/>
    <s v="CF"/>
    <x v="4"/>
    <x v="9"/>
    <x v="9"/>
    <s v="99"/>
    <n v="27"/>
    <n v="79420.600000000006"/>
    <n v="2888.0218181818186"/>
    <x v="2"/>
    <x v="13"/>
    <n v="75000"/>
    <x v="1"/>
    <s v="CF99VRTGRE045"/>
  </r>
  <r>
    <s v="CF00VRT046"/>
    <s v="CF"/>
    <x v="4"/>
    <x v="9"/>
    <x v="9"/>
    <s v="00"/>
    <n v="26"/>
    <n v="77243.100000000006"/>
    <n v="2914.8339622641511"/>
    <x v="0"/>
    <x v="3"/>
    <n v="75000"/>
    <x v="1"/>
    <s v="CF00VRTBLA046"/>
  </r>
  <r>
    <s v="CF04VRT047"/>
    <s v="CF"/>
    <x v="4"/>
    <x v="9"/>
    <x v="9"/>
    <s v="04"/>
    <n v="22"/>
    <n v="72527.199999999997"/>
    <n v="3223.431111111111"/>
    <x v="1"/>
    <x v="11"/>
    <n v="75000"/>
    <x v="0"/>
    <s v="CF04VRTWHI047"/>
  </r>
  <r>
    <s v="CF04VRT048"/>
    <s v="CF"/>
    <x v="4"/>
    <x v="9"/>
    <x v="9"/>
    <s v="04"/>
    <n v="22"/>
    <n v="52699.4"/>
    <n v="2342.1955555555555"/>
    <x v="4"/>
    <x v="11"/>
    <n v="75000"/>
    <x v="0"/>
    <s v="CF04VRTRED048"/>
  </r>
  <r>
    <s v="BL11HCB049"/>
    <s v="BL"/>
    <x v="5"/>
    <x v="10"/>
    <x v="10"/>
    <s v="11"/>
    <n v="15"/>
    <n v="29102.3"/>
    <n v="1877.5677419354838"/>
    <x v="0"/>
    <x v="12"/>
    <n v="100000"/>
    <x v="0"/>
    <s v="BL11HCBBLA049"/>
  </r>
  <r>
    <s v="BL12HCB050"/>
    <s v="BL"/>
    <x v="5"/>
    <x v="10"/>
    <x v="10"/>
    <s v="12"/>
    <n v="14"/>
    <n v="22282"/>
    <n v="1536.6896551724137"/>
    <x v="3"/>
    <x v="1"/>
    <n v="100000"/>
    <x v="0"/>
    <s v="BL12HCBBLU050"/>
  </r>
  <r>
    <s v="BL13HCB051"/>
    <s v="BL"/>
    <x v="5"/>
    <x v="10"/>
    <x v="10"/>
    <s v="13"/>
    <n v="13"/>
    <n v="20223.900000000001"/>
    <n v="1498.0666666666668"/>
    <x v="0"/>
    <x v="6"/>
    <n v="100000"/>
    <x v="0"/>
    <s v="BL13HCBBLA051"/>
  </r>
  <r>
    <s v="BL13HCB052"/>
    <s v="BL"/>
    <x v="5"/>
    <x v="10"/>
    <x v="10"/>
    <s v="13"/>
    <n v="13"/>
    <n v="22188.5"/>
    <n v="1643.5925925925926"/>
    <x v="3"/>
    <x v="4"/>
    <n v="100000"/>
    <x v="0"/>
    <s v="BL13HCB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0F6D6-F910-314B-9E5A-6AE687745ADD}" name="PivotTable1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41:L44" firstHeaderRow="1" firstDataRow="1" firstDataCol="1"/>
  <pivotFields count="14">
    <pivotField showAll="0"/>
    <pivotField showAll="0"/>
    <pivotField showAll="0"/>
    <pivotField showAll="0"/>
    <pivotField showAll="0">
      <items count="12">
        <item x="0"/>
        <item x="5"/>
        <item x="3"/>
        <item x="10"/>
        <item x="7"/>
        <item x="1"/>
        <item x="4"/>
        <item x="6"/>
        <item x="8"/>
        <item x="9"/>
        <item x="2"/>
        <item t="default"/>
      </items>
    </pivotField>
    <pivotField showAll="0"/>
    <pivotField showAll="0"/>
    <pivotField dataField="1" numFmtId="43" showAll="0"/>
    <pivotField numFmtId="43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Units Produced" fld="7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D526A-EF03-4A4C-A483-0CA23B52484D}" name="PivotTable10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62:E65" firstHeaderRow="1" firstDataRow="1" firstDataCol="1"/>
  <pivotFields count="14">
    <pivotField showAll="0"/>
    <pivotField showAll="0"/>
    <pivotField showAll="0"/>
    <pivotField showAll="0"/>
    <pivotField showAll="0">
      <items count="12">
        <item x="0"/>
        <item x="5"/>
        <item x="3"/>
        <item x="10"/>
        <item x="7"/>
        <item x="1"/>
        <item x="4"/>
        <item x="6"/>
        <item x="8"/>
        <item x="9"/>
        <item x="2"/>
        <item t="default"/>
      </items>
    </pivotField>
    <pivotField showAll="0"/>
    <pivotField showAll="0"/>
    <pivotField dataField="1" numFmtId="43" showAll="0"/>
    <pivotField numFmtId="43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Units Produced" fld="7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D8030-4F39-7242-A7CD-4A75C580C935}" name="PivotTable9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Item Color">
  <location ref="D40:E4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Produced" fld="7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712D3-24A2-9A43-96FF-8A317A5CDF2F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 Line">
  <location ref="D22:E34" firstHeaderRow="1" firstDataRow="1" firstDataCol="1"/>
  <pivotFields count="14">
    <pivotField showAll="0"/>
    <pivotField showAll="0"/>
    <pivotField showAll="0">
      <items count="7">
        <item x="5"/>
        <item x="4"/>
        <item x="1"/>
        <item x="3"/>
        <item x="2"/>
        <item x="0"/>
        <item t="default"/>
      </items>
    </pivotField>
    <pivotField showAll="0">
      <items count="12">
        <item x="0"/>
        <item x="5"/>
        <item x="3"/>
        <item x="10"/>
        <item x="7"/>
        <item x="4"/>
        <item x="1"/>
        <item x="6"/>
        <item x="8"/>
        <item x="9"/>
        <item x="2"/>
        <item t="default"/>
      </items>
    </pivotField>
    <pivotField axis="axisRow" showAll="0">
      <items count="12">
        <item x="0"/>
        <item x="5"/>
        <item x="3"/>
        <item x="10"/>
        <item x="7"/>
        <item x="1"/>
        <item x="4"/>
        <item x="6"/>
        <item x="8"/>
        <item x="9"/>
        <item x="2"/>
        <item t="default"/>
      </items>
    </pivotField>
    <pivotField showAll="0"/>
    <pivotField showAll="0"/>
    <pivotField dataField="1" numFmtId="43" showAll="0"/>
    <pivotField numFmtId="43" showAll="0"/>
    <pivotField showAll="0"/>
    <pivotField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Units Produced" fld="7" baseField="0" baseItem="0" numFmtId="4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FCBE-D34C-E048-9C77-E37FE19E11EE}">
  <dimension ref="D13:L65"/>
  <sheetViews>
    <sheetView tabSelected="1" topLeftCell="H16" workbookViewId="0">
      <selection activeCell="K40" sqref="K40"/>
    </sheetView>
  </sheetViews>
  <sheetFormatPr baseColWidth="10" defaultRowHeight="16" x14ac:dyDescent="0.2"/>
  <cols>
    <col min="4" max="4" width="18.6640625" customWidth="1"/>
    <col min="5" max="5" width="19.83203125" bestFit="1" customWidth="1"/>
    <col min="8" max="8" width="15.5" customWidth="1"/>
    <col min="9" max="9" width="23" customWidth="1"/>
    <col min="12" max="12" width="21.5" customWidth="1"/>
  </cols>
  <sheetData>
    <row r="13" spans="4:4" ht="27" x14ac:dyDescent="0.35">
      <c r="D13" s="6" t="s">
        <v>128</v>
      </c>
    </row>
    <row r="20" spans="4:8" x14ac:dyDescent="0.2">
      <c r="H20" s="5"/>
    </row>
    <row r="21" spans="4:8" x14ac:dyDescent="0.2">
      <c r="D21" s="5" t="s">
        <v>126</v>
      </c>
    </row>
    <row r="22" spans="4:8" x14ac:dyDescent="0.2">
      <c r="D22" s="2" t="s">
        <v>3</v>
      </c>
      <c r="E22" t="s">
        <v>125</v>
      </c>
    </row>
    <row r="23" spans="4:8" x14ac:dyDescent="0.2">
      <c r="D23" s="3" t="s">
        <v>94</v>
      </c>
      <c r="E23" s="4">
        <v>204245.40000000002</v>
      </c>
    </row>
    <row r="24" spans="4:8" x14ac:dyDescent="0.2">
      <c r="D24" s="3" t="s">
        <v>101</v>
      </c>
      <c r="E24" s="4">
        <v>185069.99999999997</v>
      </c>
    </row>
    <row r="25" spans="4:8" x14ac:dyDescent="0.2">
      <c r="D25" s="3" t="s">
        <v>98</v>
      </c>
      <c r="E25" s="4">
        <v>194992.90000000002</v>
      </c>
    </row>
    <row r="26" spans="4:8" x14ac:dyDescent="0.2">
      <c r="D26" s="3" t="s">
        <v>111</v>
      </c>
      <c r="E26" s="4">
        <v>93796.700000000012</v>
      </c>
    </row>
    <row r="27" spans="4:8" x14ac:dyDescent="0.2">
      <c r="D27" s="3" t="s">
        <v>105</v>
      </c>
      <c r="E27" s="4">
        <v>226115.20000000001</v>
      </c>
    </row>
    <row r="28" spans="4:8" x14ac:dyDescent="0.2">
      <c r="D28" s="3" t="s">
        <v>96</v>
      </c>
      <c r="E28" s="4">
        <v>244396</v>
      </c>
    </row>
    <row r="29" spans="4:8" x14ac:dyDescent="0.2">
      <c r="D29" s="3" t="s">
        <v>99</v>
      </c>
      <c r="E29" s="4">
        <v>432042.70000000007</v>
      </c>
    </row>
    <row r="30" spans="4:8" x14ac:dyDescent="0.2">
      <c r="D30" s="3" t="s">
        <v>103</v>
      </c>
      <c r="E30" s="4">
        <v>277252.19999999995</v>
      </c>
    </row>
    <row r="31" spans="4:8" x14ac:dyDescent="0.2">
      <c r="D31" s="3" t="s">
        <v>107</v>
      </c>
      <c r="E31" s="4">
        <v>134010.4</v>
      </c>
    </row>
    <row r="32" spans="4:8" x14ac:dyDescent="0.2">
      <c r="D32" s="3" t="s">
        <v>109</v>
      </c>
      <c r="E32" s="4">
        <v>281890.30000000005</v>
      </c>
    </row>
    <row r="33" spans="4:12" x14ac:dyDescent="0.2">
      <c r="D33" s="3" t="s">
        <v>97</v>
      </c>
      <c r="E33" s="4">
        <v>62175.499999999993</v>
      </c>
    </row>
    <row r="34" spans="4:12" x14ac:dyDescent="0.2">
      <c r="D34" s="3" t="s">
        <v>124</v>
      </c>
      <c r="E34" s="4">
        <v>2335987.2999999998</v>
      </c>
    </row>
    <row r="39" spans="4:12" x14ac:dyDescent="0.2">
      <c r="D39" s="5" t="s">
        <v>129</v>
      </c>
    </row>
    <row r="40" spans="4:12" x14ac:dyDescent="0.2">
      <c r="D40" s="2" t="s">
        <v>127</v>
      </c>
      <c r="E40" t="s">
        <v>125</v>
      </c>
    </row>
    <row r="41" spans="4:12" x14ac:dyDescent="0.2">
      <c r="D41" s="3" t="s">
        <v>14</v>
      </c>
      <c r="E41" s="4">
        <v>954448.29999999993</v>
      </c>
      <c r="K41" s="2" t="s">
        <v>123</v>
      </c>
      <c r="L41" t="s">
        <v>125</v>
      </c>
    </row>
    <row r="42" spans="4:12" x14ac:dyDescent="0.2">
      <c r="D42" s="3" t="s">
        <v>42</v>
      </c>
      <c r="E42" s="4">
        <v>321847.7</v>
      </c>
      <c r="K42" s="3" t="s">
        <v>130</v>
      </c>
      <c r="L42" s="4">
        <v>1982288.9999999995</v>
      </c>
    </row>
    <row r="43" spans="4:12" x14ac:dyDescent="0.2">
      <c r="D43" s="3" t="s">
        <v>18</v>
      </c>
      <c r="E43" s="4">
        <v>465570.80000000005</v>
      </c>
      <c r="K43" s="3" t="s">
        <v>131</v>
      </c>
      <c r="L43" s="4">
        <v>353698.30000000005</v>
      </c>
    </row>
    <row r="44" spans="4:12" x14ac:dyDescent="0.2">
      <c r="D44" s="3" t="s">
        <v>50</v>
      </c>
      <c r="E44" s="4">
        <v>117166.8</v>
      </c>
      <c r="K44" s="3" t="s">
        <v>124</v>
      </c>
      <c r="L44" s="4">
        <v>2335987.2999999998</v>
      </c>
    </row>
    <row r="45" spans="4:12" x14ac:dyDescent="0.2">
      <c r="D45" s="3" t="s">
        <v>16</v>
      </c>
      <c r="E45" s="4">
        <v>476953.7</v>
      </c>
    </row>
    <row r="46" spans="4:12" x14ac:dyDescent="0.2">
      <c r="D46" s="3" t="s">
        <v>124</v>
      </c>
      <c r="E46" s="4">
        <v>2335987.3000000003</v>
      </c>
    </row>
    <row r="62" spans="4:5" x14ac:dyDescent="0.2">
      <c r="D62" s="2" t="s">
        <v>123</v>
      </c>
      <c r="E62" t="s">
        <v>125</v>
      </c>
    </row>
    <row r="63" spans="4:5" x14ac:dyDescent="0.2">
      <c r="D63" s="3" t="s">
        <v>130</v>
      </c>
      <c r="E63" s="4">
        <v>1982288.9999999995</v>
      </c>
    </row>
    <row r="64" spans="4:5" x14ac:dyDescent="0.2">
      <c r="D64" s="3" t="s">
        <v>131</v>
      </c>
      <c r="E64" s="4">
        <v>353698.30000000005</v>
      </c>
    </row>
    <row r="65" spans="4:5" x14ac:dyDescent="0.2">
      <c r="D65" s="3" t="s">
        <v>124</v>
      </c>
      <c r="E65" s="4">
        <v>2335987.2999999998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ADFB-EF8D-914D-8204-1B4E8A25D7D9}">
  <dimension ref="A1:O67"/>
  <sheetViews>
    <sheetView topLeftCell="A41" workbookViewId="0">
      <selection activeCell="D58" sqref="D58"/>
    </sheetView>
  </sheetViews>
  <sheetFormatPr baseColWidth="10" defaultRowHeight="16" x14ac:dyDescent="0.2"/>
  <cols>
    <col min="1" max="1" width="14.33203125" customWidth="1"/>
    <col min="2" max="2" width="5.83203125" customWidth="1"/>
    <col min="3" max="3" width="11.6640625" customWidth="1"/>
    <col min="5" max="5" width="16.1640625" customWidth="1"/>
    <col min="6" max="6" width="15" customWidth="1"/>
    <col min="8" max="8" width="11.5" bestFit="1" customWidth="1"/>
    <col min="9" max="9" width="11" bestFit="1" customWidth="1"/>
    <col min="14" max="14" width="15.33203125" customWidth="1"/>
  </cols>
  <sheetData>
    <row r="1" spans="1:15" ht="34" x14ac:dyDescent="0.2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7" t="s">
        <v>13</v>
      </c>
      <c r="O1" s="1"/>
    </row>
    <row r="2" spans="1:15" x14ac:dyDescent="0.2">
      <c r="A2" s="7" t="s">
        <v>43</v>
      </c>
      <c r="B2" s="8" t="str">
        <f>LEFT(A2,2)</f>
        <v>LV</v>
      </c>
      <c r="C2" s="8" t="str">
        <f>VLOOKUP(B2, $B$57:$C$62, 2, FALSE)</f>
        <v>Levolor</v>
      </c>
      <c r="D2" s="8" t="str">
        <f>MID(A2,5,3)</f>
        <v>RMN</v>
      </c>
      <c r="E2" s="8" t="str">
        <f>VLOOKUP(D2,$E$57:$F$67,2,FALSE)</f>
        <v>Roman Shade</v>
      </c>
      <c r="F2" s="8" t="str">
        <f>MID(A2,3,2)</f>
        <v>96</v>
      </c>
      <c r="G2" s="8">
        <f>IF(26-F2&lt;0,100-F2+26,26-F2)</f>
        <v>30</v>
      </c>
      <c r="H2" s="9">
        <v>114660.6</v>
      </c>
      <c r="I2" s="9">
        <f>H2/(G2+0.5)</f>
        <v>3759.3639344262297</v>
      </c>
      <c r="J2" s="8" t="s">
        <v>18</v>
      </c>
      <c r="K2" s="8" t="s">
        <v>44</v>
      </c>
      <c r="L2" s="8">
        <v>100000</v>
      </c>
      <c r="M2" s="8" t="str">
        <f>IF(H2&lt;L2,"Covered","Not Covered")</f>
        <v>Not Covered</v>
      </c>
      <c r="N2" s="10" t="str">
        <f>CONCATENATE(B2,F2,D2,UPPER(LEFT(J2,3)),UPPER(RIGHT(A2,3)))</f>
        <v>LV96RMNGRE020</v>
      </c>
    </row>
    <row r="3" spans="1:15" x14ac:dyDescent="0.2">
      <c r="A3" s="7" t="s">
        <v>45</v>
      </c>
      <c r="B3" s="8" t="str">
        <f>LEFT(A3,2)</f>
        <v>LV</v>
      </c>
      <c r="C3" s="8" t="str">
        <f>VLOOKUP(B3, $B$57:$C$62, 2, FALSE)</f>
        <v>Levolor</v>
      </c>
      <c r="D3" s="8" t="str">
        <f>MID(A3,5,3)</f>
        <v>RMN</v>
      </c>
      <c r="E3" s="8" t="str">
        <f>VLOOKUP(D3,$E$57:$F$67,2,FALSE)</f>
        <v>Roman Shade</v>
      </c>
      <c r="F3" s="8" t="str">
        <f>MID(A3,3,2)</f>
        <v>98</v>
      </c>
      <c r="G3" s="8">
        <f>IF(26-F3&lt;0,100-F3+26,26-F3)</f>
        <v>28</v>
      </c>
      <c r="H3" s="9">
        <v>93382.6</v>
      </c>
      <c r="I3" s="9">
        <f>H3/(G3+0.5)</f>
        <v>3276.582456140351</v>
      </c>
      <c r="J3" s="8" t="s">
        <v>14</v>
      </c>
      <c r="K3" s="8" t="s">
        <v>46</v>
      </c>
      <c r="L3" s="8">
        <v>100000</v>
      </c>
      <c r="M3" s="8" t="str">
        <f>IF(H3&lt;L3,"Covered","Not Covered")</f>
        <v>Covered</v>
      </c>
      <c r="N3" s="10" t="str">
        <f>CONCATENATE(B3,F3,D3,UPPER(LEFT(J3,3)),UPPER(RIGHT(A3,3)))</f>
        <v>LV98RMNBLA021</v>
      </c>
    </row>
    <row r="4" spans="1:15" x14ac:dyDescent="0.2">
      <c r="A4" s="7" t="s">
        <v>120</v>
      </c>
      <c r="B4" s="8" t="str">
        <f>LEFT(A4,2)</f>
        <v>LV</v>
      </c>
      <c r="C4" s="8" t="str">
        <f>VLOOKUP(B4, $B$57:$C$62, 2, FALSE)</f>
        <v>Levolor</v>
      </c>
      <c r="D4" s="8" t="str">
        <f>MID(A4,5,3)</f>
        <v>RMN</v>
      </c>
      <c r="E4" s="8" t="str">
        <f>VLOOKUP(D4,$E$57:$F$67,2,FALSE)</f>
        <v>Roman Shade</v>
      </c>
      <c r="F4" s="8" t="str">
        <f>MID(A4,3,2)</f>
        <v>22</v>
      </c>
      <c r="G4" s="8">
        <f>IF(26-F4&lt;0,100-F4+26,26-F4)</f>
        <v>4</v>
      </c>
      <c r="H4" s="9">
        <v>85928</v>
      </c>
      <c r="I4" s="9">
        <f>H4/(G4+0.5)</f>
        <v>19095.111111111109</v>
      </c>
      <c r="J4" s="8" t="s">
        <v>18</v>
      </c>
      <c r="K4" s="8" t="s">
        <v>22</v>
      </c>
      <c r="L4" s="8">
        <v>100000</v>
      </c>
      <c r="M4" s="8" t="str">
        <f>IF(H4&lt;L4,"Covered","Not Covered")</f>
        <v>Covered</v>
      </c>
      <c r="N4" s="10" t="str">
        <f>CONCATENATE(B4,F4,D4,UPPER(LEFT(J4,3)),UPPER(RIGHT(A4,3)))</f>
        <v>LV22RMNGRE022</v>
      </c>
    </row>
    <row r="5" spans="1:15" x14ac:dyDescent="0.2">
      <c r="A5" s="7" t="s">
        <v>118</v>
      </c>
      <c r="B5" s="8" t="str">
        <f>LEFT(A5,2)</f>
        <v>GB</v>
      </c>
      <c r="C5" s="8" t="str">
        <f>VLOOKUP(B5, $B$57:$C$62, 2, FALSE)</f>
        <v>Graber</v>
      </c>
      <c r="D5" s="8" t="str">
        <f>MID(A5,5,3)</f>
        <v>FWB</v>
      </c>
      <c r="E5" s="8" t="str">
        <f>VLOOKUP(D5,$E$57:$F$67,2,FALSE)</f>
        <v>Faux Wood Blind</v>
      </c>
      <c r="F5" s="8" t="str">
        <f>MID(A5,3,2)</f>
        <v>18</v>
      </c>
      <c r="G5" s="8">
        <f>IF(26-F5&lt;0,100-F5+26,26-F5)</f>
        <v>8</v>
      </c>
      <c r="H5" s="9">
        <v>83162.7</v>
      </c>
      <c r="I5" s="9">
        <f>H5/(G5+0.5)</f>
        <v>9783.8470588235286</v>
      </c>
      <c r="J5" s="8" t="s">
        <v>14</v>
      </c>
      <c r="K5" s="8" t="s">
        <v>35</v>
      </c>
      <c r="L5" s="8">
        <v>100000</v>
      </c>
      <c r="M5" s="8" t="str">
        <f>IF(H5&lt;L5,"Covered","Not Covered")</f>
        <v>Covered</v>
      </c>
      <c r="N5" s="10" t="str">
        <f>CONCATENATE(B5,F5,D5,UPPER(LEFT(J5,3)),UPPER(RIGHT(A5,3)))</f>
        <v>GB18FWBBLA018</v>
      </c>
    </row>
    <row r="6" spans="1:15" x14ac:dyDescent="0.2">
      <c r="A6" s="7" t="s">
        <v>56</v>
      </c>
      <c r="B6" s="8" t="str">
        <f>LEFT(A6,2)</f>
        <v>HT</v>
      </c>
      <c r="C6" s="8" t="str">
        <f>VLOOKUP(B6, $B$57:$C$62, 2, FALSE)</f>
        <v>Hunter</v>
      </c>
      <c r="D6" s="8" t="str">
        <f>MID(A6,5,3)</f>
        <v>SHR</v>
      </c>
      <c r="E6" s="8" t="str">
        <f>VLOOKUP(D6,$E$57:$F$67,2,FALSE)</f>
        <v>Sheer Shade</v>
      </c>
      <c r="F6" s="8" t="str">
        <f>MID(A6,3,2)</f>
        <v>99</v>
      </c>
      <c r="G6" s="8">
        <f>IF(26-F6&lt;0,100-F6+26,26-F6)</f>
        <v>27</v>
      </c>
      <c r="H6" s="9">
        <v>82374</v>
      </c>
      <c r="I6" s="9">
        <f>H6/(G6+0.5)</f>
        <v>2995.4181818181819</v>
      </c>
      <c r="J6" s="8" t="s">
        <v>16</v>
      </c>
      <c r="K6" s="8" t="s">
        <v>34</v>
      </c>
      <c r="L6" s="8">
        <v>75000</v>
      </c>
      <c r="M6" s="8" t="str">
        <f>IF(H6&lt;L6,"Covered","Not Covered")</f>
        <v>Not Covered</v>
      </c>
      <c r="N6" s="10" t="str">
        <f>CONCATENATE(B6,F6,D6,UPPER(LEFT(J6,3)),UPPER(RIGHT(A6,3)))</f>
        <v>HT99SHRWHI030</v>
      </c>
    </row>
    <row r="7" spans="1:15" x14ac:dyDescent="0.2">
      <c r="A7" s="7" t="s">
        <v>119</v>
      </c>
      <c r="B7" s="8" t="str">
        <f>LEFT(A7,2)</f>
        <v>GB</v>
      </c>
      <c r="C7" s="8" t="str">
        <f>VLOOKUP(B7, $B$57:$C$62, 2, FALSE)</f>
        <v>Graber</v>
      </c>
      <c r="D7" s="8" t="str">
        <f>MID(A7,5,3)</f>
        <v>FWB</v>
      </c>
      <c r="E7" s="8" t="str">
        <f>VLOOKUP(D7,$E$57:$F$67,2,FALSE)</f>
        <v>Faux Wood Blind</v>
      </c>
      <c r="F7" s="8" t="str">
        <f>MID(A7,3,2)</f>
        <v>20</v>
      </c>
      <c r="G7" s="8">
        <f>IF(26-F7&lt;0,100-F7+26,26-F7)</f>
        <v>6</v>
      </c>
      <c r="H7" s="9">
        <v>80685.8</v>
      </c>
      <c r="I7" s="9">
        <f>H7/(G7+0.5)</f>
        <v>12413.2</v>
      </c>
      <c r="J7" s="8" t="s">
        <v>42</v>
      </c>
      <c r="K7" s="8" t="s">
        <v>32</v>
      </c>
      <c r="L7" s="8">
        <v>100000</v>
      </c>
      <c r="M7" s="8" t="str">
        <f>IF(H7&lt;L7,"Covered","Not Covered")</f>
        <v>Covered</v>
      </c>
      <c r="N7" s="10" t="str">
        <f>CONCATENATE(B7,F7,D7,UPPER(LEFT(J7,3)),UPPER(RIGHT(A7,3)))</f>
        <v>GB20FWBBLU019</v>
      </c>
    </row>
    <row r="8" spans="1:15" x14ac:dyDescent="0.2">
      <c r="A8" s="7" t="s">
        <v>69</v>
      </c>
      <c r="B8" s="8" t="str">
        <f>LEFT(A8,2)</f>
        <v>CF</v>
      </c>
      <c r="C8" s="8" t="str">
        <f>VLOOKUP(B8, $B$57:$C$62, 2, FALSE)</f>
        <v>Comfortex</v>
      </c>
      <c r="D8" s="8" t="str">
        <f>MID(A8,5,3)</f>
        <v>VRT</v>
      </c>
      <c r="E8" s="8" t="str">
        <f>VLOOKUP(D8,$E$57:$F$67,2,FALSE)</f>
        <v>Vertical Blind</v>
      </c>
      <c r="F8" s="8" t="str">
        <f>MID(A8,3,2)</f>
        <v>99</v>
      </c>
      <c r="G8" s="8">
        <f>IF(26-F8&lt;0,100-F8+26,26-F8)</f>
        <v>27</v>
      </c>
      <c r="H8" s="9">
        <v>79420.600000000006</v>
      </c>
      <c r="I8" s="9">
        <f>H8/(G8+0.5)</f>
        <v>2888.0218181818186</v>
      </c>
      <c r="J8" s="8" t="s">
        <v>18</v>
      </c>
      <c r="K8" s="8" t="s">
        <v>41</v>
      </c>
      <c r="L8" s="8">
        <v>75000</v>
      </c>
      <c r="M8" s="8" t="str">
        <f>IF(H8&lt;L8,"Covered","Not Covered")</f>
        <v>Not Covered</v>
      </c>
      <c r="N8" s="10" t="str">
        <f>CONCATENATE(B8,F8,D8,UPPER(LEFT(J8,3)),UPPER(RIGHT(A8,3)))</f>
        <v>CF99VRTGRE045</v>
      </c>
    </row>
    <row r="9" spans="1:15" x14ac:dyDescent="0.2">
      <c r="A9" s="7" t="s">
        <v>70</v>
      </c>
      <c r="B9" s="8" t="str">
        <f>LEFT(A9,2)</f>
        <v>CF</v>
      </c>
      <c r="C9" s="8" t="str">
        <f>VLOOKUP(B9, $B$57:$C$62, 2, FALSE)</f>
        <v>Comfortex</v>
      </c>
      <c r="D9" s="8" t="str">
        <f>MID(A9,5,3)</f>
        <v>VRT</v>
      </c>
      <c r="E9" s="8" t="str">
        <f>VLOOKUP(D9,$E$57:$F$67,2,FALSE)</f>
        <v>Vertical Blind</v>
      </c>
      <c r="F9" s="8" t="str">
        <f>MID(A9,3,2)</f>
        <v>00</v>
      </c>
      <c r="G9" s="8">
        <f>IF(26-F9&lt;0,100-F9+26,26-F9)</f>
        <v>26</v>
      </c>
      <c r="H9" s="9">
        <v>77243.100000000006</v>
      </c>
      <c r="I9" s="9">
        <f>H9/(G9+0.5)</f>
        <v>2914.8339622641511</v>
      </c>
      <c r="J9" s="8" t="s">
        <v>14</v>
      </c>
      <c r="K9" s="8" t="s">
        <v>20</v>
      </c>
      <c r="L9" s="8">
        <v>75000</v>
      </c>
      <c r="M9" s="8" t="str">
        <f>IF(H9&lt;L9,"Covered","Not Covered")</f>
        <v>Not Covered</v>
      </c>
      <c r="N9" s="10" t="str">
        <f>CONCATENATE(B9,F9,D9,UPPER(LEFT(J9,3)),UPPER(RIGHT(A9,3)))</f>
        <v>CF00VRTBLA046</v>
      </c>
    </row>
    <row r="10" spans="1:15" x14ac:dyDescent="0.2">
      <c r="A10" s="7" t="s">
        <v>52</v>
      </c>
      <c r="B10" s="8" t="str">
        <f>LEFT(A10,2)</f>
        <v>LV</v>
      </c>
      <c r="C10" s="8" t="str">
        <f>VLOOKUP(B10, $B$57:$C$62, 2, FALSE)</f>
        <v>Levolor</v>
      </c>
      <c r="D10" s="8" t="str">
        <f>MID(A10,5,3)</f>
        <v>CRD</v>
      </c>
      <c r="E10" s="8" t="str">
        <f>VLOOKUP(D10,$E$57:$F$67,2,FALSE)</f>
        <v>Cordless Shade</v>
      </c>
      <c r="F10" s="8" t="str">
        <f>MID(A10,3,2)</f>
        <v>03</v>
      </c>
      <c r="G10" s="8">
        <f>IF(26-F10&lt;0,100-F10+26,26-F10)</f>
        <v>23</v>
      </c>
      <c r="H10" s="9">
        <v>73444.399999999994</v>
      </c>
      <c r="I10" s="9">
        <f>H10/(G10+0.5)</f>
        <v>3125.2936170212765</v>
      </c>
      <c r="J10" s="8" t="s">
        <v>14</v>
      </c>
      <c r="K10" s="8" t="s">
        <v>51</v>
      </c>
      <c r="L10" s="8">
        <v>100000</v>
      </c>
      <c r="M10" s="8" t="str">
        <f>IF(H10&lt;L10,"Covered","Not Covered")</f>
        <v>Covered</v>
      </c>
      <c r="N10" s="10" t="str">
        <f>CONCATENATE(B10,F10,D10,UPPER(LEFT(J10,3)),UPPER(RIGHT(A10,3)))</f>
        <v>LV03CRDBLA026</v>
      </c>
    </row>
    <row r="11" spans="1:15" x14ac:dyDescent="0.2">
      <c r="A11" s="7" t="s">
        <v>71</v>
      </c>
      <c r="B11" s="8" t="str">
        <f>LEFT(A11,2)</f>
        <v>CF</v>
      </c>
      <c r="C11" s="8" t="str">
        <f>VLOOKUP(B11, $B$57:$C$62, 2, FALSE)</f>
        <v>Comfortex</v>
      </c>
      <c r="D11" s="8" t="str">
        <f>MID(A11,5,3)</f>
        <v>VRT</v>
      </c>
      <c r="E11" s="8" t="str">
        <f>VLOOKUP(D11,$E$57:$F$67,2,FALSE)</f>
        <v>Vertical Blind</v>
      </c>
      <c r="F11" s="8" t="str">
        <f>MID(A11,3,2)</f>
        <v>04</v>
      </c>
      <c r="G11" s="8">
        <f>IF(26-F11&lt;0,100-F11+26,26-F11)</f>
        <v>22</v>
      </c>
      <c r="H11" s="9">
        <v>72527.199999999997</v>
      </c>
      <c r="I11" s="9">
        <f>H11/(G11+0.5)</f>
        <v>3223.431111111111</v>
      </c>
      <c r="J11" s="8" t="s">
        <v>16</v>
      </c>
      <c r="K11" s="8" t="s">
        <v>37</v>
      </c>
      <c r="L11" s="8">
        <v>75000</v>
      </c>
      <c r="M11" s="8" t="str">
        <f>IF(H11&lt;L11,"Covered","Not Covered")</f>
        <v>Covered</v>
      </c>
      <c r="N11" s="10" t="str">
        <f>CONCATENATE(B11,F11,D11,UPPER(LEFT(J11,3)),UPPER(RIGHT(A11,3)))</f>
        <v>CF04VRTWHI047</v>
      </c>
    </row>
    <row r="12" spans="1:15" x14ac:dyDescent="0.2">
      <c r="A12" s="7" t="s">
        <v>57</v>
      </c>
      <c r="B12" s="8" t="str">
        <f>LEFT(A12,2)</f>
        <v>HT</v>
      </c>
      <c r="C12" s="8" t="str">
        <f>VLOOKUP(B12, $B$57:$C$62, 2, FALSE)</f>
        <v>Hunter</v>
      </c>
      <c r="D12" s="8" t="str">
        <f>MID(A12,5,3)</f>
        <v>SHR</v>
      </c>
      <c r="E12" s="8" t="str">
        <f>VLOOKUP(D12,$E$57:$F$67,2,FALSE)</f>
        <v>Sheer Shade</v>
      </c>
      <c r="F12" s="8" t="str">
        <f>MID(A12,3,2)</f>
        <v>01</v>
      </c>
      <c r="G12" s="8">
        <f>IF(26-F12&lt;0,100-F12+26,26-F12)</f>
        <v>25</v>
      </c>
      <c r="H12" s="9">
        <v>69891.899999999994</v>
      </c>
      <c r="I12" s="9">
        <f>H12/(G12+0.5)</f>
        <v>2740.8588235294114</v>
      </c>
      <c r="J12" s="8" t="s">
        <v>42</v>
      </c>
      <c r="K12" s="8" t="s">
        <v>20</v>
      </c>
      <c r="L12" s="8">
        <v>75000</v>
      </c>
      <c r="M12" s="8" t="str">
        <f>IF(H12&lt;L12,"Covered","Not Covered")</f>
        <v>Covered</v>
      </c>
      <c r="N12" s="10" t="str">
        <f>CONCATENATE(B12,F12,D12,UPPER(LEFT(J12,3)),UPPER(RIGHT(A12,3)))</f>
        <v>HT01SHRBLU031</v>
      </c>
    </row>
    <row r="13" spans="1:15" x14ac:dyDescent="0.2">
      <c r="A13" s="7" t="s">
        <v>112</v>
      </c>
      <c r="B13" s="8" t="str">
        <f>LEFT(A13,2)</f>
        <v>HT</v>
      </c>
      <c r="C13" s="8" t="str">
        <f>VLOOKUP(B13, $B$57:$C$62, 2, FALSE)</f>
        <v>Hunter</v>
      </c>
      <c r="D13" s="8" t="str">
        <f>MID(A13,5,3)</f>
        <v>PLT</v>
      </c>
      <c r="E13" s="8" t="str">
        <f>VLOOKUP(D13,$E$57:$F$67,2,FALSE)</f>
        <v>Pleated Shade</v>
      </c>
      <c r="F13" s="8" t="str">
        <f>MID(A13,3,2)</f>
        <v>01</v>
      </c>
      <c r="G13" s="8">
        <f>IF(26-F13&lt;0,100-F13+26,26-F13)</f>
        <v>25</v>
      </c>
      <c r="H13" s="9">
        <v>68658.899999999994</v>
      </c>
      <c r="I13" s="9">
        <f>H13/(G13+0.5)</f>
        <v>2692.5058823529412</v>
      </c>
      <c r="J13" s="8" t="s">
        <v>14</v>
      </c>
      <c r="K13" s="8" t="s">
        <v>15</v>
      </c>
      <c r="L13" s="8">
        <v>100000</v>
      </c>
      <c r="M13" s="8" t="str">
        <f>IF(H13&lt;L13,"Covered","Not Covered")</f>
        <v>Covered</v>
      </c>
      <c r="N13" s="10" t="str">
        <f>CONCATENATE(B13,F13,D13,UPPER(LEFT(J13,3)),UPPER(RIGHT(A13,3)))</f>
        <v>HT01PLTBLA040</v>
      </c>
    </row>
    <row r="14" spans="1:15" x14ac:dyDescent="0.2">
      <c r="A14" s="7" t="s">
        <v>47</v>
      </c>
      <c r="B14" s="8" t="str">
        <f>LEFT(A14,2)</f>
        <v>LV</v>
      </c>
      <c r="C14" s="8" t="str">
        <f>VLOOKUP(B14, $B$57:$C$62, 2, FALSE)</f>
        <v>Levolor</v>
      </c>
      <c r="D14" s="8" t="str">
        <f>MID(A14,5,3)</f>
        <v>RMN</v>
      </c>
      <c r="E14" s="8" t="str">
        <f>VLOOKUP(D14,$E$57:$F$67,2,FALSE)</f>
        <v>Roman Shade</v>
      </c>
      <c r="F14" s="8" t="str">
        <f>MID(A14,3,2)</f>
        <v>02</v>
      </c>
      <c r="G14" s="8">
        <f>IF(26-F14&lt;0,100-F14+26,26-F14)</f>
        <v>24</v>
      </c>
      <c r="H14" s="9">
        <v>67829.100000000006</v>
      </c>
      <c r="I14" s="9">
        <f>H14/(G14+0.5)</f>
        <v>2768.534693877551</v>
      </c>
      <c r="J14" s="8" t="s">
        <v>14</v>
      </c>
      <c r="K14" s="8" t="s">
        <v>15</v>
      </c>
      <c r="L14" s="8">
        <v>100000</v>
      </c>
      <c r="M14" s="8" t="str">
        <f>IF(H14&lt;L14,"Covered","Not Covered")</f>
        <v>Covered</v>
      </c>
      <c r="N14" s="10" t="str">
        <f>CONCATENATE(B14,F14,D14,UPPER(LEFT(J14,3)),UPPER(RIGHT(A14,3)))</f>
        <v>LV02RMNBLA023</v>
      </c>
    </row>
    <row r="15" spans="1:15" x14ac:dyDescent="0.2">
      <c r="A15" s="7" t="s">
        <v>66</v>
      </c>
      <c r="B15" s="8" t="str">
        <f>LEFT(A15,2)</f>
        <v>CF</v>
      </c>
      <c r="C15" s="8" t="str">
        <f>VLOOKUP(B15, $B$57:$C$62, 2, FALSE)</f>
        <v>Comfortex</v>
      </c>
      <c r="D15" s="8" t="str">
        <f>MID(A15,5,3)</f>
        <v>SOL</v>
      </c>
      <c r="E15" s="8" t="str">
        <f>VLOOKUP(D15,$E$57:$F$67,2,FALSE)</f>
        <v>Solar Shade</v>
      </c>
      <c r="F15" s="8" t="str">
        <f>MID(A15,3,2)</f>
        <v>04</v>
      </c>
      <c r="G15" s="8">
        <f>IF(26-F15&lt;0,100-F15+26,26-F15)</f>
        <v>22</v>
      </c>
      <c r="H15" s="9">
        <v>64542</v>
      </c>
      <c r="I15" s="9">
        <f>H15/(G15+0.5)</f>
        <v>2868.5333333333333</v>
      </c>
      <c r="J15" s="8" t="s">
        <v>42</v>
      </c>
      <c r="K15" s="8" t="s">
        <v>15</v>
      </c>
      <c r="L15" s="8">
        <v>75000</v>
      </c>
      <c r="M15" s="8" t="str">
        <f>IF(H15&lt;L15,"Covered","Not Covered")</f>
        <v>Covered</v>
      </c>
      <c r="N15" s="10" t="str">
        <f>CONCATENATE(B15,F15,D15,UPPER(LEFT(J15,3)),UPPER(RIGHT(A15,3)))</f>
        <v>CF04SOLBLU042</v>
      </c>
    </row>
    <row r="16" spans="1:15" x14ac:dyDescent="0.2">
      <c r="A16" s="7" t="s">
        <v>49</v>
      </c>
      <c r="B16" s="8" t="str">
        <f>LEFT(A16,2)</f>
        <v>LV</v>
      </c>
      <c r="C16" s="8" t="str">
        <f>VLOOKUP(B16, $B$57:$C$62, 2, FALSE)</f>
        <v>Levolor</v>
      </c>
      <c r="D16" s="8" t="str">
        <f>MID(A16,5,3)</f>
        <v>CRD</v>
      </c>
      <c r="E16" s="8" t="str">
        <f>VLOOKUP(D16,$E$57:$F$67,2,FALSE)</f>
        <v>Cordless Shade</v>
      </c>
      <c r="F16" s="8" t="str">
        <f>MID(A16,3,2)</f>
        <v>02</v>
      </c>
      <c r="G16" s="8">
        <f>IF(26-F16&lt;0,100-F16+26,26-F16)</f>
        <v>24</v>
      </c>
      <c r="H16" s="9">
        <v>64467.4</v>
      </c>
      <c r="I16" s="9">
        <f>H16/(G16+0.5)</f>
        <v>2631.3224489795921</v>
      </c>
      <c r="J16" s="8" t="s">
        <v>50</v>
      </c>
      <c r="K16" s="8" t="s">
        <v>51</v>
      </c>
      <c r="L16" s="8">
        <v>100000</v>
      </c>
      <c r="M16" s="8" t="str">
        <f>IF(H16&lt;L16,"Covered","Not Covered")</f>
        <v>Covered</v>
      </c>
      <c r="N16" s="10" t="str">
        <f>CONCATENATE(B16,F16,D16,UPPER(LEFT(J16,3)),UPPER(RIGHT(A16,3)))</f>
        <v>LV02CRDRED025</v>
      </c>
    </row>
    <row r="17" spans="1:14" x14ac:dyDescent="0.2">
      <c r="A17" s="7" t="s">
        <v>122</v>
      </c>
      <c r="B17" s="8" t="str">
        <f>LEFT(A17,2)</f>
        <v>HT</v>
      </c>
      <c r="C17" s="8" t="str">
        <f>VLOOKUP(B17, $B$57:$C$62, 2, FALSE)</f>
        <v>Hunter</v>
      </c>
      <c r="D17" s="8" t="str">
        <f>MID(A17,5,3)</f>
        <v>PLT</v>
      </c>
      <c r="E17" s="8" t="str">
        <f>VLOOKUP(D17,$E$57:$F$67,2,FALSE)</f>
        <v>Pleated Shade</v>
      </c>
      <c r="F17" s="8" t="str">
        <f>MID(A17,3,2)</f>
        <v>05</v>
      </c>
      <c r="G17" s="8">
        <f>IF(26-F17&lt;0,100-F17+26,26-F17)</f>
        <v>21</v>
      </c>
      <c r="H17" s="9">
        <v>60389.5</v>
      </c>
      <c r="I17" s="9">
        <f>H17/(G17+0.5)</f>
        <v>2808.8139534883721</v>
      </c>
      <c r="J17" s="8" t="s">
        <v>16</v>
      </c>
      <c r="K17" s="8" t="s">
        <v>25</v>
      </c>
      <c r="L17" s="8">
        <v>100000</v>
      </c>
      <c r="M17" s="8" t="str">
        <f>IF(H17&lt;L17,"Covered","Not Covered")</f>
        <v>Covered</v>
      </c>
      <c r="N17" s="10" t="str">
        <f>CONCATENATE(B17,F17,D17,UPPER(LEFT(J17,3)),UPPER(RIGHT(A17,3)))</f>
        <v>HT05PLTWHI037</v>
      </c>
    </row>
    <row r="18" spans="1:14" x14ac:dyDescent="0.2">
      <c r="A18" s="7" t="s">
        <v>72</v>
      </c>
      <c r="B18" s="8" t="str">
        <f>LEFT(A18,2)</f>
        <v>CF</v>
      </c>
      <c r="C18" s="8" t="str">
        <f>VLOOKUP(B18, $B$57:$C$62, 2, FALSE)</f>
        <v>Comfortex</v>
      </c>
      <c r="D18" s="8" t="str">
        <f>MID(A18,5,3)</f>
        <v>VRT</v>
      </c>
      <c r="E18" s="8" t="str">
        <f>VLOOKUP(D18,$E$57:$F$67,2,FALSE)</f>
        <v>Vertical Blind</v>
      </c>
      <c r="F18" s="8" t="str">
        <f>MID(A18,3,2)</f>
        <v>04</v>
      </c>
      <c r="G18" s="8">
        <f>IF(26-F18&lt;0,100-F18+26,26-F18)</f>
        <v>22</v>
      </c>
      <c r="H18" s="9">
        <v>52699.4</v>
      </c>
      <c r="I18" s="9">
        <f>H18/(G18+0.5)</f>
        <v>2342.1955555555555</v>
      </c>
      <c r="J18" s="8" t="s">
        <v>50</v>
      </c>
      <c r="K18" s="8" t="s">
        <v>37</v>
      </c>
      <c r="L18" s="8">
        <v>75000</v>
      </c>
      <c r="M18" s="8" t="str">
        <f>IF(H18&lt;L18,"Covered","Not Covered")</f>
        <v>Covered</v>
      </c>
      <c r="N18" s="10" t="str">
        <f>CONCATENATE(B18,F18,D18,UPPER(LEFT(J18,3)),UPPER(RIGHT(A18,3)))</f>
        <v>CF04VRTRED048</v>
      </c>
    </row>
    <row r="19" spans="1:14" x14ac:dyDescent="0.2">
      <c r="A19" s="7" t="s">
        <v>23</v>
      </c>
      <c r="B19" s="8" t="str">
        <f>LEFT(A19,2)</f>
        <v>NC</v>
      </c>
      <c r="C19" s="8" t="str">
        <f>VLOOKUP(B19, $B$57:$C$62, 2, FALSE)</f>
        <v>Nocross</v>
      </c>
      <c r="D19" s="8" t="str">
        <f>MID(A19,5,3)</f>
        <v>ROL</v>
      </c>
      <c r="E19" s="8" t="str">
        <f>VLOOKUP(D19,$E$57:$F$67,2,FALSE)</f>
        <v>Roller Shade</v>
      </c>
      <c r="F19" s="8" t="str">
        <f>MID(A19,3,2)</f>
        <v>06</v>
      </c>
      <c r="G19" s="8">
        <f>IF(26-F19&lt;0,100-F19+26,26-F19)</f>
        <v>20</v>
      </c>
      <c r="H19" s="9">
        <v>52229.5</v>
      </c>
      <c r="I19" s="9">
        <f>H19/(G19+0.5)</f>
        <v>2547.7804878048782</v>
      </c>
      <c r="J19" s="8" t="s">
        <v>18</v>
      </c>
      <c r="K19" s="8" t="s">
        <v>19</v>
      </c>
      <c r="L19" s="8">
        <v>75000</v>
      </c>
      <c r="M19" s="8" t="str">
        <f>IF(H19&lt;L19,"Covered","Not Covered")</f>
        <v>Covered</v>
      </c>
      <c r="N19" s="10" t="str">
        <f>CONCATENATE(B19,F19,D19,UPPER(LEFT(J19,3)),UPPER(RIGHT(A19,3)))</f>
        <v>NC06ROLGRE007</v>
      </c>
    </row>
    <row r="20" spans="1:14" x14ac:dyDescent="0.2">
      <c r="A20" s="7" t="s">
        <v>63</v>
      </c>
      <c r="B20" s="8" t="str">
        <f>LEFT(A20,2)</f>
        <v>HT</v>
      </c>
      <c r="C20" s="8" t="str">
        <f>VLOOKUP(B20, $B$57:$C$62, 2, FALSE)</f>
        <v>Hunter</v>
      </c>
      <c r="D20" s="8" t="str">
        <f>MID(A20,5,3)</f>
        <v>PLT</v>
      </c>
      <c r="E20" s="8" t="str">
        <f>VLOOKUP(D20,$E$57:$F$67,2,FALSE)</f>
        <v>Pleated Shade</v>
      </c>
      <c r="F20" s="8" t="str">
        <f>MID(A20,3,2)</f>
        <v>07</v>
      </c>
      <c r="G20" s="8">
        <f>IF(26-F20&lt;0,100-F20+26,26-F20)</f>
        <v>19</v>
      </c>
      <c r="H20" s="9">
        <v>50854.1</v>
      </c>
      <c r="I20" s="9">
        <f>H20/(G20+0.5)</f>
        <v>2607.9025641025642</v>
      </c>
      <c r="J20" s="8" t="s">
        <v>14</v>
      </c>
      <c r="K20" s="8" t="s">
        <v>46</v>
      </c>
      <c r="L20" s="8">
        <v>100000</v>
      </c>
      <c r="M20" s="8" t="str">
        <f>IF(H20&lt;L20,"Covered","Not Covered")</f>
        <v>Covered</v>
      </c>
      <c r="N20" s="10" t="str">
        <f>CONCATENATE(B20,F20,D20,UPPER(LEFT(J20,3)),UPPER(RIGHT(A20,3)))</f>
        <v>HT07PLTBLA038</v>
      </c>
    </row>
    <row r="21" spans="1:14" x14ac:dyDescent="0.2">
      <c r="A21" s="7" t="s">
        <v>48</v>
      </c>
      <c r="B21" s="8" t="str">
        <f>LEFT(A21,2)</f>
        <v>LV</v>
      </c>
      <c r="C21" s="8" t="str">
        <f>VLOOKUP(B21, $B$57:$C$62, 2, FALSE)</f>
        <v>Levolor</v>
      </c>
      <c r="D21" s="8" t="str">
        <f>MID(A21,5,3)</f>
        <v>RMN</v>
      </c>
      <c r="E21" s="8" t="str">
        <f>VLOOKUP(D21,$E$57:$F$67,2,FALSE)</f>
        <v>Roman Shade</v>
      </c>
      <c r="F21" s="8" t="str">
        <f>MID(A21,3,2)</f>
        <v>09</v>
      </c>
      <c r="G21" s="8">
        <f>IF(26-F21&lt;0,100-F21+26,26-F21)</f>
        <v>17</v>
      </c>
      <c r="H21" s="9">
        <v>48114.2</v>
      </c>
      <c r="I21" s="9">
        <f>H21/(G21+0.5)</f>
        <v>2749.3828571428571</v>
      </c>
      <c r="J21" s="8" t="s">
        <v>16</v>
      </c>
      <c r="K21" s="8" t="s">
        <v>25</v>
      </c>
      <c r="L21" s="8">
        <v>100000</v>
      </c>
      <c r="M21" s="8" t="str">
        <f>IF(H21&lt;L21,"Covered","Not Covered")</f>
        <v>Covered</v>
      </c>
      <c r="N21" s="10" t="str">
        <f>CONCATENATE(B21,F21,D21,UPPER(LEFT(J21,3)),UPPER(RIGHT(A21,3)))</f>
        <v>LV09RMNWHI024</v>
      </c>
    </row>
    <row r="22" spans="1:14" x14ac:dyDescent="0.2">
      <c r="A22" s="7" t="s">
        <v>121</v>
      </c>
      <c r="B22" s="8" t="str">
        <f>LEFT(A22,2)</f>
        <v>NC</v>
      </c>
      <c r="C22" s="8" t="str">
        <f>VLOOKUP(B22, $B$57:$C$62, 2, FALSE)</f>
        <v>Nocross</v>
      </c>
      <c r="D22" s="8" t="str">
        <f>MID(A22,5,3)</f>
        <v>ROL</v>
      </c>
      <c r="E22" s="8" t="str">
        <f>VLOOKUP(D22,$E$57:$F$67,2,FALSE)</f>
        <v>Roller Shade</v>
      </c>
      <c r="F22" s="8" t="str">
        <f>MID(A22,3,2)</f>
        <v>06</v>
      </c>
      <c r="G22" s="8">
        <f>IF(26-F22&lt;0,100-F22+26,26-F22)</f>
        <v>20</v>
      </c>
      <c r="H22" s="9">
        <v>46311.4</v>
      </c>
      <c r="I22" s="9">
        <f>H22/(G22+0.5)</f>
        <v>2259.0926829268292</v>
      </c>
      <c r="J22" s="8" t="s">
        <v>18</v>
      </c>
      <c r="K22" s="8" t="s">
        <v>22</v>
      </c>
      <c r="L22" s="8">
        <v>75000</v>
      </c>
      <c r="M22" s="8" t="str">
        <f>IF(H22&lt;L22,"Covered","Not Covered")</f>
        <v>Covered</v>
      </c>
      <c r="N22" s="10" t="str">
        <f>CONCATENATE(B22,F22,D22,UPPER(LEFT(J22,3)),UPPER(RIGHT(A22,3)))</f>
        <v>NC06ROLGRE006</v>
      </c>
    </row>
    <row r="23" spans="1:14" x14ac:dyDescent="0.2">
      <c r="A23" s="7" t="s">
        <v>114</v>
      </c>
      <c r="B23" s="8" t="str">
        <f>LEFT(A23,2)</f>
        <v>NC</v>
      </c>
      <c r="C23" s="8" t="str">
        <f>VLOOKUP(B23, $B$57:$C$62, 2, FALSE)</f>
        <v>Nocross</v>
      </c>
      <c r="D23" s="8" t="str">
        <f>MID(A23,5,3)</f>
        <v>CEL</v>
      </c>
      <c r="E23" s="8" t="str">
        <f>VLOOKUP(D23,$E$57:$F$67,2,FALSE)</f>
        <v>Cellular Shade</v>
      </c>
      <c r="F23" s="8" t="str">
        <f>MID(A23,3,2)</f>
        <v>26</v>
      </c>
      <c r="G23" s="8">
        <f>IF(26-F23&lt;0,100-F23+26,26-F23)</f>
        <v>0</v>
      </c>
      <c r="H23" s="9">
        <v>44974.8</v>
      </c>
      <c r="I23" s="9">
        <f>H23/(G23+0.5)</f>
        <v>89949.6</v>
      </c>
      <c r="J23" s="8" t="s">
        <v>16</v>
      </c>
      <c r="K23" s="8" t="s">
        <v>17</v>
      </c>
      <c r="L23" s="8">
        <v>50000</v>
      </c>
      <c r="M23" s="8" t="str">
        <f>IF(H23&lt;L23,"Covered","Not Covered")</f>
        <v>Covered</v>
      </c>
      <c r="N23" s="10" t="str">
        <f>CONCATENATE(B23,F23,D23,UPPER(LEFT(J23,3)),UPPER(RIGHT(A23,3)))</f>
        <v>NC26CELWHI002</v>
      </c>
    </row>
    <row r="24" spans="1:14" x14ac:dyDescent="0.2">
      <c r="A24" s="7" t="s">
        <v>115</v>
      </c>
      <c r="B24" s="8" t="str">
        <f>LEFT(A24,2)</f>
        <v>NC</v>
      </c>
      <c r="C24" s="8" t="str">
        <f>VLOOKUP(B24, $B$57:$C$62, 2, FALSE)</f>
        <v>Nocross</v>
      </c>
      <c r="D24" s="8" t="str">
        <f>MID(A24,5,3)</f>
        <v>CEL</v>
      </c>
      <c r="E24" s="8" t="str">
        <f>VLOOKUP(D24,$E$57:$F$67,2,FALSE)</f>
        <v>Cellular Shade</v>
      </c>
      <c r="F24" s="8" t="str">
        <f>MID(A24,3,2)</f>
        <v>18</v>
      </c>
      <c r="G24" s="8">
        <f>IF(26-F24&lt;0,100-F24+26,26-F24)</f>
        <v>8</v>
      </c>
      <c r="H24" s="9">
        <v>44946.5</v>
      </c>
      <c r="I24" s="9">
        <f>H24/(G24+0.5)</f>
        <v>5287.8235294117649</v>
      </c>
      <c r="J24" s="8" t="s">
        <v>18</v>
      </c>
      <c r="K24" s="8" t="s">
        <v>19</v>
      </c>
      <c r="L24" s="8">
        <v>50000</v>
      </c>
      <c r="M24" s="8" t="str">
        <f>IF(H24&lt;L24,"Covered","Not Covered")</f>
        <v>Covered</v>
      </c>
      <c r="N24" s="10" t="str">
        <f>CONCATENATE(B24,F24,D24,UPPER(LEFT(J24,3)),UPPER(RIGHT(A24,3)))</f>
        <v>NC18CELGRE003</v>
      </c>
    </row>
    <row r="25" spans="1:14" x14ac:dyDescent="0.2">
      <c r="A25" s="7" t="s">
        <v>64</v>
      </c>
      <c r="B25" s="8" t="str">
        <f>LEFT(A25,2)</f>
        <v>HT</v>
      </c>
      <c r="C25" s="8" t="str">
        <f>VLOOKUP(B25, $B$57:$C$62, 2, FALSE)</f>
        <v>Hunter</v>
      </c>
      <c r="D25" s="8" t="str">
        <f>MID(A25,5,3)</f>
        <v>PLT</v>
      </c>
      <c r="E25" s="8" t="str">
        <f>VLOOKUP(D25,$E$57:$F$67,2,FALSE)</f>
        <v>Pleated Shade</v>
      </c>
      <c r="F25" s="8" t="str">
        <f>MID(A25,3,2)</f>
        <v>08</v>
      </c>
      <c r="G25" s="8">
        <f>IF(26-F25&lt;0,100-F25+26,26-F25)</f>
        <v>18</v>
      </c>
      <c r="H25" s="9">
        <v>42504.6</v>
      </c>
      <c r="I25" s="9">
        <f>H25/(G25+0.5)</f>
        <v>2297.5459459459457</v>
      </c>
      <c r="J25" s="8" t="s">
        <v>16</v>
      </c>
      <c r="K25" s="8" t="s">
        <v>34</v>
      </c>
      <c r="L25" s="8">
        <v>100000</v>
      </c>
      <c r="M25" s="8" t="str">
        <f>IF(H25&lt;L25,"Covered","Not Covered")</f>
        <v>Covered</v>
      </c>
      <c r="N25" s="10" t="str">
        <f>CONCATENATE(B25,F25,D25,UPPER(LEFT(J25,3)),UPPER(RIGHT(A25,3)))</f>
        <v>HT08PLTWHI039</v>
      </c>
    </row>
    <row r="26" spans="1:14" x14ac:dyDescent="0.2">
      <c r="A26" s="7" t="s">
        <v>67</v>
      </c>
      <c r="B26" s="8" t="str">
        <f>LEFT(A26,2)</f>
        <v>CF</v>
      </c>
      <c r="C26" s="8" t="str">
        <f>VLOOKUP(B26, $B$57:$C$62, 2, FALSE)</f>
        <v>Comfortex</v>
      </c>
      <c r="D26" s="8" t="str">
        <f>MID(A26,5,3)</f>
        <v>SOL</v>
      </c>
      <c r="E26" s="8" t="str">
        <f>VLOOKUP(D26,$E$57:$F$67,2,FALSE)</f>
        <v>Solar Shade</v>
      </c>
      <c r="F26" s="8" t="str">
        <f>MID(A26,3,2)</f>
        <v>07</v>
      </c>
      <c r="G26" s="8">
        <f>IF(26-F26&lt;0,100-F26+26,26-F26)</f>
        <v>19</v>
      </c>
      <c r="H26" s="9">
        <v>42074.2</v>
      </c>
      <c r="I26" s="9">
        <f>H26/(G26+0.5)</f>
        <v>2157.6512820512821</v>
      </c>
      <c r="J26" s="8" t="s">
        <v>18</v>
      </c>
      <c r="K26" s="8" t="s">
        <v>51</v>
      </c>
      <c r="L26" s="8">
        <v>75000</v>
      </c>
      <c r="M26" s="8" t="str">
        <f>IF(H26&lt;L26,"Covered","Not Covered")</f>
        <v>Covered</v>
      </c>
      <c r="N26" s="10" t="str">
        <f>CONCATENATE(B26,F26,D26,UPPER(LEFT(J26,3)),UPPER(RIGHT(A26,3)))</f>
        <v>CF07SOLGRE043</v>
      </c>
    </row>
    <row r="27" spans="1:14" x14ac:dyDescent="0.2">
      <c r="A27" s="7" t="s">
        <v>113</v>
      </c>
      <c r="B27" s="8" t="str">
        <f>LEFT(A27,2)</f>
        <v>NC</v>
      </c>
      <c r="C27" s="8" t="str">
        <f>VLOOKUP(B27, $B$57:$C$62, 2, FALSE)</f>
        <v>Nocross</v>
      </c>
      <c r="D27" s="8" t="str">
        <f>MID(A27,5,3)</f>
        <v>CEL</v>
      </c>
      <c r="E27" s="8" t="str">
        <f>VLOOKUP(D27,$E$57:$F$67,2,FALSE)</f>
        <v>Cellular Shade</v>
      </c>
      <c r="F27" s="8" t="str">
        <f>MID(A27,3,2)</f>
        <v>16</v>
      </c>
      <c r="G27" s="8">
        <f>IF(26-F27&lt;0,100-F27+26,26-F27)</f>
        <v>10</v>
      </c>
      <c r="H27" s="9">
        <v>40326.800000000003</v>
      </c>
      <c r="I27" s="9">
        <f>H27/(G27+0.5)</f>
        <v>3840.6476190476192</v>
      </c>
      <c r="J27" s="8" t="s">
        <v>14</v>
      </c>
      <c r="K27" s="8" t="s">
        <v>15</v>
      </c>
      <c r="L27" s="8">
        <v>50000</v>
      </c>
      <c r="M27" s="8" t="str">
        <f>IF(H27&lt;L27,"Covered","Not Covered")</f>
        <v>Covered</v>
      </c>
      <c r="N27" s="10" t="str">
        <f>CONCATENATE(B27,F27,D27,UPPER(LEFT(J27,3)),UPPER(RIGHT(A27,3)))</f>
        <v>NC16CELBLA001</v>
      </c>
    </row>
    <row r="28" spans="1:14" x14ac:dyDescent="0.2">
      <c r="A28" s="7" t="s">
        <v>116</v>
      </c>
      <c r="B28" s="8" t="str">
        <f>LEFT(A28,2)</f>
        <v>NC</v>
      </c>
      <c r="C28" s="8" t="str">
        <f>VLOOKUP(B28, $B$57:$C$62, 2, FALSE)</f>
        <v>Nocross</v>
      </c>
      <c r="D28" s="8" t="str">
        <f>MID(A28,5,3)</f>
        <v>CEL</v>
      </c>
      <c r="E28" s="8" t="str">
        <f>VLOOKUP(D28,$E$57:$F$67,2,FALSE)</f>
        <v>Cellular Shade</v>
      </c>
      <c r="F28" s="8" t="str">
        <f>MID(A28,3,2)</f>
        <v>18</v>
      </c>
      <c r="G28" s="8">
        <f>IF(26-F28&lt;0,100-F28+26,26-F28)</f>
        <v>8</v>
      </c>
      <c r="H28" s="9">
        <v>37558.800000000003</v>
      </c>
      <c r="I28" s="9">
        <f>H28/(G28+0.5)</f>
        <v>4418.6823529411768</v>
      </c>
      <c r="J28" s="8" t="s">
        <v>14</v>
      </c>
      <c r="K28" s="8" t="s">
        <v>20</v>
      </c>
      <c r="L28" s="8">
        <v>50000</v>
      </c>
      <c r="M28" s="8" t="str">
        <f>IF(H28&lt;L28,"Covered","Not Covered")</f>
        <v>Covered</v>
      </c>
      <c r="N28" s="10" t="str">
        <f>CONCATENATE(B28,F28,D28,UPPER(LEFT(J28,3)),UPPER(RIGHT(A28,3)))</f>
        <v>NC18CELBLA004</v>
      </c>
    </row>
    <row r="29" spans="1:14" x14ac:dyDescent="0.2">
      <c r="A29" s="7" t="s">
        <v>21</v>
      </c>
      <c r="B29" s="8" t="str">
        <f>LEFT(A29,2)</f>
        <v>NC</v>
      </c>
      <c r="C29" s="8" t="str">
        <f>VLOOKUP(B29, $B$57:$C$62, 2, FALSE)</f>
        <v>Nocross</v>
      </c>
      <c r="D29" s="8" t="str">
        <f>MID(A29,5,3)</f>
        <v>CEL</v>
      </c>
      <c r="E29" s="8" t="str">
        <f>VLOOKUP(D29,$E$57:$F$67,2,FALSE)</f>
        <v>Cellular Shade</v>
      </c>
      <c r="F29" s="8" t="str">
        <f>MID(A29,3,2)</f>
        <v>08</v>
      </c>
      <c r="G29" s="8">
        <f>IF(26-F29&lt;0,100-F29+26,26-F29)</f>
        <v>18</v>
      </c>
      <c r="H29" s="9">
        <v>36438.5</v>
      </c>
      <c r="I29" s="9">
        <f>H29/(G29+0.5)</f>
        <v>1969.6486486486488</v>
      </c>
      <c r="J29" s="8" t="s">
        <v>16</v>
      </c>
      <c r="K29" s="8" t="s">
        <v>15</v>
      </c>
      <c r="L29" s="8">
        <v>50000</v>
      </c>
      <c r="M29" s="8" t="str">
        <f>IF(H29&lt;L29,"Covered","Not Covered")</f>
        <v>Covered</v>
      </c>
      <c r="N29" s="10" t="str">
        <f>CONCATENATE(B29,F29,D29,UPPER(LEFT(J29,3)),UPPER(RIGHT(A29,3)))</f>
        <v>NC08CELWHI005</v>
      </c>
    </row>
    <row r="30" spans="1:14" x14ac:dyDescent="0.2">
      <c r="A30" s="7" t="s">
        <v>24</v>
      </c>
      <c r="B30" s="8" t="str">
        <f>LEFT(A30,2)</f>
        <v>NC</v>
      </c>
      <c r="C30" s="8" t="str">
        <f>VLOOKUP(B30, $B$57:$C$62, 2, FALSE)</f>
        <v>Nocross</v>
      </c>
      <c r="D30" s="8" t="str">
        <f>MID(A30,5,3)</f>
        <v>ROL</v>
      </c>
      <c r="E30" s="8" t="str">
        <f>VLOOKUP(D30,$E$57:$F$67,2,FALSE)</f>
        <v>Roller Shade</v>
      </c>
      <c r="F30" s="8" t="str">
        <f>MID(A30,3,2)</f>
        <v>09</v>
      </c>
      <c r="G30" s="8">
        <f>IF(26-F30&lt;0,100-F30+26,26-F30)</f>
        <v>17</v>
      </c>
      <c r="H30" s="9">
        <v>35137</v>
      </c>
      <c r="I30" s="9">
        <f>H30/(G30+0.5)</f>
        <v>2007.8285714285714</v>
      </c>
      <c r="J30" s="8" t="s">
        <v>14</v>
      </c>
      <c r="K30" s="8" t="s">
        <v>25</v>
      </c>
      <c r="L30" s="8">
        <v>75000</v>
      </c>
      <c r="M30" s="8" t="str">
        <f>IF(H30&lt;L30,"Covered","Not Covered")</f>
        <v>Covered</v>
      </c>
      <c r="N30" s="10" t="str">
        <f>CONCATENATE(B30,F30,D30,UPPER(LEFT(J30,3)),UPPER(RIGHT(A30,3)))</f>
        <v>NC09ROLBLA008</v>
      </c>
    </row>
    <row r="31" spans="1:14" x14ac:dyDescent="0.2">
      <c r="A31" s="7" t="s">
        <v>59</v>
      </c>
      <c r="B31" s="8" t="str">
        <f>LEFT(A31,2)</f>
        <v>HT</v>
      </c>
      <c r="C31" s="8" t="str">
        <f>VLOOKUP(B31, $B$57:$C$62, 2, FALSE)</f>
        <v>Hunter</v>
      </c>
      <c r="D31" s="8" t="str">
        <f>MID(A31,5,3)</f>
        <v>SHR</v>
      </c>
      <c r="E31" s="8" t="str">
        <f>VLOOKUP(D31,$E$57:$F$67,2,FALSE)</f>
        <v>Sheer Shade</v>
      </c>
      <c r="F31" s="8" t="str">
        <f>MID(A31,3,2)</f>
        <v>10</v>
      </c>
      <c r="G31" s="8">
        <f>IF(26-F31&lt;0,100-F31+26,26-F31)</f>
        <v>16</v>
      </c>
      <c r="H31" s="9">
        <v>33477.199999999997</v>
      </c>
      <c r="I31" s="9">
        <f>H31/(G31+0.5)</f>
        <v>2028.921212121212</v>
      </c>
      <c r="J31" s="8" t="s">
        <v>14</v>
      </c>
      <c r="K31" s="8" t="s">
        <v>46</v>
      </c>
      <c r="L31" s="8">
        <v>75000</v>
      </c>
      <c r="M31" s="8" t="str">
        <f>IF(H31&lt;L31,"Covered","Not Covered")</f>
        <v>Covered</v>
      </c>
      <c r="N31" s="10" t="str">
        <f>CONCATENATE(B31,F31,D31,UPPER(LEFT(J31,3)),UPPER(RIGHT(A31,3)))</f>
        <v>HT10SHRBLA033</v>
      </c>
    </row>
    <row r="32" spans="1:14" x14ac:dyDescent="0.2">
      <c r="A32" s="7" t="s">
        <v>40</v>
      </c>
      <c r="B32" s="8" t="str">
        <f>LEFT(A32,2)</f>
        <v>GB</v>
      </c>
      <c r="C32" s="8" t="str">
        <f>VLOOKUP(B32, $B$57:$C$62, 2, FALSE)</f>
        <v>Graber</v>
      </c>
      <c r="D32" s="8" t="str">
        <f>MID(A32,5,3)</f>
        <v>FWB</v>
      </c>
      <c r="E32" s="8" t="str">
        <f>VLOOKUP(D32,$E$57:$F$67,2,FALSE)</f>
        <v>Faux Wood Blind</v>
      </c>
      <c r="F32" s="8" t="str">
        <f>MID(A32,3,2)</f>
        <v>10</v>
      </c>
      <c r="G32" s="8">
        <f>IF(26-F32&lt;0,100-F32+26,26-F32)</f>
        <v>16</v>
      </c>
      <c r="H32" s="9">
        <v>31144.400000000001</v>
      </c>
      <c r="I32" s="9">
        <f>H32/(G32+0.5)</f>
        <v>1887.5393939393941</v>
      </c>
      <c r="J32" s="8" t="s">
        <v>14</v>
      </c>
      <c r="K32" s="8" t="s">
        <v>41</v>
      </c>
      <c r="L32" s="8">
        <v>100000</v>
      </c>
      <c r="M32" s="8" t="str">
        <f>IF(H32&lt;L32,"Covered","Not Covered")</f>
        <v>Covered</v>
      </c>
      <c r="N32" s="10" t="str">
        <f>CONCATENATE(B32,F32,D32,UPPER(LEFT(J32,3)),UPPER(RIGHT(A32,3)))</f>
        <v>GB10FWBBLA017</v>
      </c>
    </row>
    <row r="33" spans="1:14" x14ac:dyDescent="0.2">
      <c r="A33" s="7" t="s">
        <v>60</v>
      </c>
      <c r="B33" s="8" t="str">
        <f>LEFT(A33,2)</f>
        <v>HT</v>
      </c>
      <c r="C33" s="8" t="str">
        <f>VLOOKUP(B33, $B$57:$C$62, 2, FALSE)</f>
        <v>Hunter</v>
      </c>
      <c r="D33" s="8" t="str">
        <f>MID(A33,5,3)</f>
        <v>SHR</v>
      </c>
      <c r="E33" s="8" t="str">
        <f>VLOOKUP(D33,$E$57:$F$67,2,FALSE)</f>
        <v>Sheer Shade</v>
      </c>
      <c r="F33" s="8" t="str">
        <f>MID(A33,3,2)</f>
        <v>11</v>
      </c>
      <c r="G33" s="8">
        <f>IF(26-F33&lt;0,100-F33+26,26-F33)</f>
        <v>15</v>
      </c>
      <c r="H33" s="9">
        <v>30555.3</v>
      </c>
      <c r="I33" s="9">
        <f>H33/(G33+0.5)</f>
        <v>1971.3096774193548</v>
      </c>
      <c r="J33" s="8" t="s">
        <v>14</v>
      </c>
      <c r="K33" s="8" t="s">
        <v>19</v>
      </c>
      <c r="L33" s="8">
        <v>75000</v>
      </c>
      <c r="M33" s="8" t="str">
        <f>IF(H33&lt;L33,"Covered","Not Covered")</f>
        <v>Covered</v>
      </c>
      <c r="N33" s="10" t="str">
        <f>CONCATENATE(B33,F33,D33,UPPER(LEFT(J33,3)),UPPER(RIGHT(A33,3)))</f>
        <v>HT11SHRBLA034</v>
      </c>
    </row>
    <row r="34" spans="1:14" x14ac:dyDescent="0.2">
      <c r="A34" s="7" t="s">
        <v>54</v>
      </c>
      <c r="B34" s="8" t="str">
        <f>LEFT(A34,2)</f>
        <v>LV</v>
      </c>
      <c r="C34" s="8" t="str">
        <f>VLOOKUP(B34, $B$57:$C$62, 2, FALSE)</f>
        <v>Levolor</v>
      </c>
      <c r="D34" s="8" t="str">
        <f>MID(A34,5,3)</f>
        <v>CRD</v>
      </c>
      <c r="E34" s="8" t="str">
        <f>VLOOKUP(D34,$E$57:$F$67,2,FALSE)</f>
        <v>Cordless Shade</v>
      </c>
      <c r="F34" s="8" t="str">
        <f>MID(A34,3,2)</f>
        <v>12</v>
      </c>
      <c r="G34" s="8">
        <f>IF(26-F34&lt;0,100-F34+26,26-F34)</f>
        <v>14</v>
      </c>
      <c r="H34" s="9">
        <v>29601.9</v>
      </c>
      <c r="I34" s="9">
        <f>H34/(G34+0.5)</f>
        <v>2041.5103448275863</v>
      </c>
      <c r="J34" s="8" t="s">
        <v>14</v>
      </c>
      <c r="K34" s="8" t="s">
        <v>35</v>
      </c>
      <c r="L34" s="8">
        <v>100000</v>
      </c>
      <c r="M34" s="8" t="str">
        <f>IF(H34&lt;L34,"Covered","Not Covered")</f>
        <v>Covered</v>
      </c>
      <c r="N34" s="10" t="str">
        <f>CONCATENATE(B34,F34,D34,UPPER(LEFT(J34,3)),UPPER(RIGHT(A34,3)))</f>
        <v>LV12CRDBLA028</v>
      </c>
    </row>
    <row r="35" spans="1:14" x14ac:dyDescent="0.2">
      <c r="A35" s="7" t="s">
        <v>73</v>
      </c>
      <c r="B35" s="8" t="str">
        <f>LEFT(A35,2)</f>
        <v>BL</v>
      </c>
      <c r="C35" s="8" t="str">
        <f>VLOOKUP(B35, $B$57:$C$62, 2, FALSE)</f>
        <v>Bali</v>
      </c>
      <c r="D35" s="8" t="str">
        <f>MID(A35,5,3)</f>
        <v>HCB</v>
      </c>
      <c r="E35" s="8" t="str">
        <f>VLOOKUP(D35,$E$57:$F$67,2,FALSE)</f>
        <v>Honeycomb Shade</v>
      </c>
      <c r="F35" s="8" t="str">
        <f>MID(A35,3,2)</f>
        <v>11</v>
      </c>
      <c r="G35" s="8">
        <f>IF(26-F35&lt;0,100-F35+26,26-F35)</f>
        <v>15</v>
      </c>
      <c r="H35" s="9">
        <v>29102.3</v>
      </c>
      <c r="I35" s="9">
        <f>H35/(G35+0.5)</f>
        <v>1877.5677419354838</v>
      </c>
      <c r="J35" s="8" t="s">
        <v>14</v>
      </c>
      <c r="K35" s="8" t="s">
        <v>39</v>
      </c>
      <c r="L35" s="8">
        <v>100000</v>
      </c>
      <c r="M35" s="8" t="str">
        <f>IF(H35&lt;L35,"Covered","Not Covered")</f>
        <v>Covered</v>
      </c>
      <c r="N35" s="10" t="str">
        <f>CONCATENATE(B35,F35,D35,UPPER(LEFT(J35,3)),UPPER(RIGHT(A35,3)))</f>
        <v>BL11HCBBLA049</v>
      </c>
    </row>
    <row r="36" spans="1:14" x14ac:dyDescent="0.2">
      <c r="A36" s="7" t="s">
        <v>117</v>
      </c>
      <c r="B36" s="8" t="str">
        <f>LEFT(A36,2)</f>
        <v>GB</v>
      </c>
      <c r="C36" s="8" t="str">
        <f>VLOOKUP(B36, $B$57:$C$62, 2, FALSE)</f>
        <v>Graber</v>
      </c>
      <c r="D36" s="8" t="str">
        <f>MID(A36,5,3)</f>
        <v>WBL</v>
      </c>
      <c r="E36" s="8" t="str">
        <f>VLOOKUP(D36,$E$57:$F$67,2,FALSE)</f>
        <v>Wood Blind</v>
      </c>
      <c r="F36" s="8" t="str">
        <f>MID(A36,3,2)</f>
        <v>19</v>
      </c>
      <c r="G36" s="8">
        <f>IF(26-F36&lt;0,100-F36+26,26-F36)</f>
        <v>7</v>
      </c>
      <c r="H36" s="9">
        <v>28464.799999999999</v>
      </c>
      <c r="I36" s="9">
        <f>H36/(G36+0.5)</f>
        <v>3795.3066666666664</v>
      </c>
      <c r="J36" s="8" t="s">
        <v>16</v>
      </c>
      <c r="K36" s="8" t="s">
        <v>35</v>
      </c>
      <c r="L36" s="8">
        <v>100000</v>
      </c>
      <c r="M36" s="8" t="str">
        <f>IF(H36&lt;L36,"Covered","Not Covered")</f>
        <v>Covered</v>
      </c>
      <c r="N36" s="10" t="str">
        <f>CONCATENATE(B36,F36,D36,UPPER(LEFT(J36,3)),UPPER(RIGHT(A36,3)))</f>
        <v>GB19WBLWHI014</v>
      </c>
    </row>
    <row r="37" spans="1:14" x14ac:dyDescent="0.2">
      <c r="A37" s="7" t="s">
        <v>26</v>
      </c>
      <c r="B37" s="8" t="str">
        <f>LEFT(A37,2)</f>
        <v>NC</v>
      </c>
      <c r="C37" s="8" t="str">
        <f>VLOOKUP(B37, $B$57:$C$62, 2, FALSE)</f>
        <v>Nocross</v>
      </c>
      <c r="D37" s="8" t="str">
        <f>MID(A37,5,3)</f>
        <v>ROL</v>
      </c>
      <c r="E37" s="8" t="str">
        <f>VLOOKUP(D37,$E$57:$F$67,2,FALSE)</f>
        <v>Roller Shade</v>
      </c>
      <c r="F37" s="8" t="str">
        <f>MID(A37,3,2)</f>
        <v>13</v>
      </c>
      <c r="G37" s="8">
        <f>IF(26-F37&lt;0,100-F37+26,26-F37)</f>
        <v>13</v>
      </c>
      <c r="H37" s="9">
        <v>27637.1</v>
      </c>
      <c r="I37" s="9">
        <f>H37/(G37+0.5)</f>
        <v>2047.1925925925925</v>
      </c>
      <c r="J37" s="8" t="s">
        <v>14</v>
      </c>
      <c r="K37" s="8" t="s">
        <v>15</v>
      </c>
      <c r="L37" s="8">
        <v>75000</v>
      </c>
      <c r="M37" s="8" t="str">
        <f>IF(H37&lt;L37,"Covered","Not Covered")</f>
        <v>Covered</v>
      </c>
      <c r="N37" s="10" t="str">
        <f>CONCATENATE(B37,F37,D37,UPPER(LEFT(J37,3)),UPPER(RIGHT(A37,3)))</f>
        <v>NC13ROLBLA009</v>
      </c>
    </row>
    <row r="38" spans="1:14" x14ac:dyDescent="0.2">
      <c r="A38" s="7" t="s">
        <v>27</v>
      </c>
      <c r="B38" s="8" t="str">
        <f>LEFT(A38,2)</f>
        <v>NC</v>
      </c>
      <c r="C38" s="8" t="str">
        <f>VLOOKUP(B38, $B$57:$C$62, 2, FALSE)</f>
        <v>Nocross</v>
      </c>
      <c r="D38" s="8" t="str">
        <f>MID(A38,5,3)</f>
        <v>ROL</v>
      </c>
      <c r="E38" s="8" t="str">
        <f>VLOOKUP(D38,$E$57:$F$67,2,FALSE)</f>
        <v>Roller Shade</v>
      </c>
      <c r="F38" s="8" t="str">
        <f>MID(A38,3,2)</f>
        <v>13</v>
      </c>
      <c r="G38" s="8">
        <f>IF(26-F38&lt;0,100-F38+26,26-F38)</f>
        <v>13</v>
      </c>
      <c r="H38" s="9">
        <v>27534.799999999999</v>
      </c>
      <c r="I38" s="9">
        <f>H38/(G38+0.5)</f>
        <v>2039.6148148148147</v>
      </c>
      <c r="J38" s="8" t="s">
        <v>16</v>
      </c>
      <c r="K38" s="8" t="s">
        <v>28</v>
      </c>
      <c r="L38" s="8">
        <v>75000</v>
      </c>
      <c r="M38" s="8" t="str">
        <f>IF(H38&lt;L38,"Covered","Not Covered")</f>
        <v>Covered</v>
      </c>
      <c r="N38" s="10" t="str">
        <f>CONCATENATE(B38,F38,D38,UPPER(LEFT(J38,3)),UPPER(RIGHT(A38,3)))</f>
        <v>NC13ROLWHI010</v>
      </c>
    </row>
    <row r="39" spans="1:14" x14ac:dyDescent="0.2">
      <c r="A39" s="7" t="s">
        <v>68</v>
      </c>
      <c r="B39" s="8" t="str">
        <f>LEFT(A39,2)</f>
        <v>CF</v>
      </c>
      <c r="C39" s="8" t="str">
        <f>VLOOKUP(B39, $B$57:$C$62, 2, FALSE)</f>
        <v>Comfortex</v>
      </c>
      <c r="D39" s="8" t="str">
        <f>MID(A39,5,3)</f>
        <v>SOL</v>
      </c>
      <c r="E39" s="8" t="str">
        <f>VLOOKUP(D39,$E$57:$F$67,2,FALSE)</f>
        <v>Solar Shade</v>
      </c>
      <c r="F39" s="8" t="str">
        <f>MID(A39,3,2)</f>
        <v>11</v>
      </c>
      <c r="G39" s="8">
        <f>IF(26-F39&lt;0,100-F39+26,26-F39)</f>
        <v>15</v>
      </c>
      <c r="H39" s="9">
        <v>27394.2</v>
      </c>
      <c r="I39" s="9">
        <f>H39/(G39+0.5)</f>
        <v>1767.367741935484</v>
      </c>
      <c r="J39" s="8" t="s">
        <v>14</v>
      </c>
      <c r="K39" s="8" t="s">
        <v>32</v>
      </c>
      <c r="L39" s="8">
        <v>75000</v>
      </c>
      <c r="M39" s="8" t="str">
        <f>IF(H39&lt;L39,"Covered","Not Covered")</f>
        <v>Covered</v>
      </c>
      <c r="N39" s="10" t="str">
        <f>CONCATENATE(B39,F39,D39,UPPER(LEFT(J39,3)),UPPER(RIGHT(A39,3)))</f>
        <v>CF11SOLBLA044</v>
      </c>
    </row>
    <row r="40" spans="1:14" x14ac:dyDescent="0.2">
      <c r="A40" s="7" t="s">
        <v>61</v>
      </c>
      <c r="B40" s="8" t="str">
        <f>LEFT(A40,2)</f>
        <v>HT</v>
      </c>
      <c r="C40" s="8" t="str">
        <f>VLOOKUP(B40, $B$57:$C$62, 2, FALSE)</f>
        <v>Hunter</v>
      </c>
      <c r="D40" s="8" t="str">
        <f>MID(A40,5,3)</f>
        <v>SHR</v>
      </c>
      <c r="E40" s="8" t="str">
        <f>VLOOKUP(D40,$E$57:$F$67,2,FALSE)</f>
        <v>Sheer Shade</v>
      </c>
      <c r="F40" s="8" t="str">
        <f>MID(A40,3,2)</f>
        <v>12</v>
      </c>
      <c r="G40" s="8">
        <f>IF(26-F40&lt;0,100-F40+26,26-F40)</f>
        <v>14</v>
      </c>
      <c r="H40" s="9">
        <v>24513.200000000001</v>
      </c>
      <c r="I40" s="9">
        <f>H40/(G40+0.5)</f>
        <v>1690.5655172413794</v>
      </c>
      <c r="J40" s="8" t="s">
        <v>14</v>
      </c>
      <c r="K40" s="8" t="s">
        <v>41</v>
      </c>
      <c r="L40" s="8">
        <v>75000</v>
      </c>
      <c r="M40" s="8" t="str">
        <f>IF(H40&lt;L40,"Covered","Not Covered")</f>
        <v>Covered</v>
      </c>
      <c r="N40" s="10" t="str">
        <f>CONCATENATE(B40,F40,D40,UPPER(LEFT(J40,3)),UPPER(RIGHT(A40,3)))</f>
        <v>HT12SHRBLA035</v>
      </c>
    </row>
    <row r="41" spans="1:14" x14ac:dyDescent="0.2">
      <c r="A41" s="7" t="s">
        <v>58</v>
      </c>
      <c r="B41" s="8" t="str">
        <f>LEFT(A41,2)</f>
        <v>HT</v>
      </c>
      <c r="C41" s="8" t="str">
        <f>VLOOKUP(B41, $B$57:$C$62, 2, FALSE)</f>
        <v>Hunter</v>
      </c>
      <c r="D41" s="8" t="str">
        <f>MID(A41,5,3)</f>
        <v>SHR</v>
      </c>
      <c r="E41" s="8" t="str">
        <f>VLOOKUP(D41,$E$57:$F$67,2,FALSE)</f>
        <v>Sheer Shade</v>
      </c>
      <c r="F41" s="8" t="str">
        <f>MID(A41,3,2)</f>
        <v>10</v>
      </c>
      <c r="G41" s="8">
        <f>IF(26-F41&lt;0,100-F41+26,26-F41)</f>
        <v>16</v>
      </c>
      <c r="H41" s="9">
        <v>22573</v>
      </c>
      <c r="I41" s="9">
        <f>H41/(G41+0.5)</f>
        <v>1368.060606060606</v>
      </c>
      <c r="J41" s="8" t="s">
        <v>42</v>
      </c>
      <c r="K41" s="8" t="s">
        <v>39</v>
      </c>
      <c r="L41" s="8">
        <v>75000</v>
      </c>
      <c r="M41" s="8" t="str">
        <f>IF(H41&lt;L41,"Covered","Not Covered")</f>
        <v>Covered</v>
      </c>
      <c r="N41" s="10" t="str">
        <f>CONCATENATE(B41,F41,D41,UPPER(LEFT(J41,3)),UPPER(RIGHT(A41,3)))</f>
        <v>HT10SHRBLU032</v>
      </c>
    </row>
    <row r="42" spans="1:14" x14ac:dyDescent="0.2">
      <c r="A42" s="7" t="s">
        <v>31</v>
      </c>
      <c r="B42" s="8" t="str">
        <f>LEFT(A42,2)</f>
        <v>NC</v>
      </c>
      <c r="C42" s="8" t="str">
        <f>VLOOKUP(B42, $B$57:$C$62, 2, FALSE)</f>
        <v>Nocross</v>
      </c>
      <c r="D42" s="8" t="str">
        <f>MID(A42,5,3)</f>
        <v>ROL</v>
      </c>
      <c r="E42" s="8" t="str">
        <f>VLOOKUP(D42,$E$57:$F$67,2,FALSE)</f>
        <v>Roller Shade</v>
      </c>
      <c r="F42" s="8" t="str">
        <f>MID(A42,3,2)</f>
        <v>13</v>
      </c>
      <c r="G42" s="8">
        <f>IF(26-F42&lt;0,100-F42+26,26-F42)</f>
        <v>13</v>
      </c>
      <c r="H42" s="9">
        <v>22521.599999999999</v>
      </c>
      <c r="I42" s="9">
        <f>H42/(G42+0.5)</f>
        <v>1668.2666666666667</v>
      </c>
      <c r="J42" s="8" t="s">
        <v>14</v>
      </c>
      <c r="K42" s="8" t="s">
        <v>32</v>
      </c>
      <c r="L42" s="8">
        <v>75000</v>
      </c>
      <c r="M42" s="8" t="str">
        <f>IF(H42&lt;L42,"Covered","Not Covered")</f>
        <v>Covered</v>
      </c>
      <c r="N42" s="10" t="str">
        <f>CONCATENATE(B42,F42,D42,UPPER(LEFT(J42,3)),UPPER(RIGHT(A42,3)))</f>
        <v>NC13ROLBLA012</v>
      </c>
    </row>
    <row r="43" spans="1:14" x14ac:dyDescent="0.2">
      <c r="A43" s="7" t="s">
        <v>74</v>
      </c>
      <c r="B43" s="8" t="str">
        <f>LEFT(A43,2)</f>
        <v>BL</v>
      </c>
      <c r="C43" s="8" t="str">
        <f>VLOOKUP(B43, $B$57:$C$62, 2, FALSE)</f>
        <v>Bali</v>
      </c>
      <c r="D43" s="8" t="str">
        <f>MID(A43,5,3)</f>
        <v>HCB</v>
      </c>
      <c r="E43" s="8" t="str">
        <f>VLOOKUP(D43,$E$57:$F$67,2,FALSE)</f>
        <v>Honeycomb Shade</v>
      </c>
      <c r="F43" s="8" t="str">
        <f>MID(A43,3,2)</f>
        <v>12</v>
      </c>
      <c r="G43" s="8">
        <f>IF(26-F43&lt;0,100-F43+26,26-F43)</f>
        <v>14</v>
      </c>
      <c r="H43" s="9">
        <v>22282</v>
      </c>
      <c r="I43" s="9">
        <f>H43/(G43+0.5)</f>
        <v>1536.6896551724137</v>
      </c>
      <c r="J43" s="8" t="s">
        <v>42</v>
      </c>
      <c r="K43" s="8" t="s">
        <v>17</v>
      </c>
      <c r="L43" s="8">
        <v>100000</v>
      </c>
      <c r="M43" s="8" t="str">
        <f>IF(H43&lt;L43,"Covered","Not Covered")</f>
        <v>Covered</v>
      </c>
      <c r="N43" s="10" t="str">
        <f>CONCATENATE(B43,F43,D43,UPPER(LEFT(J43,3)),UPPER(RIGHT(A43,3)))</f>
        <v>BL12HCBBLU050</v>
      </c>
    </row>
    <row r="44" spans="1:14" x14ac:dyDescent="0.2">
      <c r="A44" s="7" t="s">
        <v>76</v>
      </c>
      <c r="B44" s="8" t="str">
        <f>LEFT(A44,2)</f>
        <v>BL</v>
      </c>
      <c r="C44" s="8" t="str">
        <f>VLOOKUP(B44, $B$57:$C$62, 2, FALSE)</f>
        <v>Bali</v>
      </c>
      <c r="D44" s="8" t="str">
        <f>MID(A44,5,3)</f>
        <v>HCB</v>
      </c>
      <c r="E44" s="8" t="str">
        <f>VLOOKUP(D44,$E$57:$F$67,2,FALSE)</f>
        <v>Honeycomb Shade</v>
      </c>
      <c r="F44" s="8" t="str">
        <f>MID(A44,3,2)</f>
        <v>13</v>
      </c>
      <c r="G44" s="8">
        <f>IF(26-F44&lt;0,100-F44+26,26-F44)</f>
        <v>13</v>
      </c>
      <c r="H44" s="9">
        <v>22188.5</v>
      </c>
      <c r="I44" s="9">
        <f>H44/(G44+0.5)</f>
        <v>1643.5925925925926</v>
      </c>
      <c r="J44" s="8" t="s">
        <v>42</v>
      </c>
      <c r="K44" s="8" t="s">
        <v>22</v>
      </c>
      <c r="L44" s="8">
        <v>100000</v>
      </c>
      <c r="M44" s="8" t="str">
        <f>IF(H44&lt;L44,"Covered","Not Covered")</f>
        <v>Covered</v>
      </c>
      <c r="N44" s="10" t="str">
        <f>CONCATENATE(B44,F44,D44,UPPER(LEFT(J44,3)),UPPER(RIGHT(A44,3)))</f>
        <v>BL13HCBBLU052</v>
      </c>
    </row>
    <row r="45" spans="1:14" x14ac:dyDescent="0.2">
      <c r="A45" s="7" t="s">
        <v>55</v>
      </c>
      <c r="B45" s="8" t="str">
        <f>LEFT(A45,2)</f>
        <v>LV</v>
      </c>
      <c r="C45" s="8" t="str">
        <f>VLOOKUP(B45, $B$57:$C$62, 2, FALSE)</f>
        <v>Levolor</v>
      </c>
      <c r="D45" s="8" t="str">
        <f>MID(A45,5,3)</f>
        <v>RMN</v>
      </c>
      <c r="E45" s="8" t="str">
        <f>VLOOKUP(D45,$E$57:$F$67,2,FALSE)</f>
        <v>Roman Shade</v>
      </c>
      <c r="F45" s="8" t="str">
        <f>MID(A45,3,2)</f>
        <v>12</v>
      </c>
      <c r="G45" s="8">
        <f>IF(26-F45&lt;0,100-F45+26,26-F45)</f>
        <v>14</v>
      </c>
      <c r="H45" s="9">
        <v>22128.2</v>
      </c>
      <c r="I45" s="9">
        <f>H45/(G45+0.5)</f>
        <v>1526.0827586206897</v>
      </c>
      <c r="J45" s="8" t="s">
        <v>42</v>
      </c>
      <c r="K45" s="8" t="s">
        <v>44</v>
      </c>
      <c r="L45" s="8">
        <v>100000</v>
      </c>
      <c r="M45" s="8" t="str">
        <f>IF(H45&lt;L45,"Covered","Not Covered")</f>
        <v>Covered</v>
      </c>
      <c r="N45" s="10" t="str">
        <f>CONCATENATE(B45,F45,D45,UPPER(LEFT(J45,3)),UPPER(RIGHT(A45,3)))</f>
        <v>LV12RMNBLU029</v>
      </c>
    </row>
    <row r="46" spans="1:14" x14ac:dyDescent="0.2">
      <c r="A46" s="7" t="s">
        <v>75</v>
      </c>
      <c r="B46" s="8" t="str">
        <f>LEFT(A46,2)</f>
        <v>BL</v>
      </c>
      <c r="C46" s="8" t="str">
        <f>VLOOKUP(B46, $B$57:$C$62, 2, FALSE)</f>
        <v>Bali</v>
      </c>
      <c r="D46" s="8" t="str">
        <f>MID(A46,5,3)</f>
        <v>HCB</v>
      </c>
      <c r="E46" s="8" t="str">
        <f>VLOOKUP(D46,$E$57:$F$67,2,FALSE)</f>
        <v>Honeycomb Shade</v>
      </c>
      <c r="F46" s="8" t="str">
        <f>MID(A46,3,2)</f>
        <v>13</v>
      </c>
      <c r="G46" s="8">
        <f>IF(26-F46&lt;0,100-F46+26,26-F46)</f>
        <v>13</v>
      </c>
      <c r="H46" s="9">
        <v>20223.900000000001</v>
      </c>
      <c r="I46" s="9">
        <f>H46/(G46+0.5)</f>
        <v>1498.0666666666668</v>
      </c>
      <c r="J46" s="8" t="s">
        <v>14</v>
      </c>
      <c r="K46" s="8" t="s">
        <v>28</v>
      </c>
      <c r="L46" s="8">
        <v>100000</v>
      </c>
      <c r="M46" s="8" t="str">
        <f>IF(H46&lt;L46,"Covered","Not Covered")</f>
        <v>Covered</v>
      </c>
      <c r="N46" s="10" t="str">
        <f>CONCATENATE(B46,F46,D46,UPPER(LEFT(J46,3)),UPPER(RIGHT(A46,3)))</f>
        <v>BL13HCBBLA051</v>
      </c>
    </row>
    <row r="47" spans="1:14" x14ac:dyDescent="0.2">
      <c r="A47" s="7" t="s">
        <v>36</v>
      </c>
      <c r="B47" s="8" t="str">
        <f>LEFT(A47,2)</f>
        <v>GB</v>
      </c>
      <c r="C47" s="8" t="str">
        <f>VLOOKUP(B47, $B$57:$C$62, 2, FALSE)</f>
        <v>Graber</v>
      </c>
      <c r="D47" s="8" t="str">
        <f>MID(A47,5,3)</f>
        <v>WBL</v>
      </c>
      <c r="E47" s="8" t="str">
        <f>VLOOKUP(D47,$E$57:$F$67,2,FALSE)</f>
        <v>Wood Blind</v>
      </c>
      <c r="F47" s="8" t="str">
        <f>MID(A47,3,2)</f>
        <v>12</v>
      </c>
      <c r="G47" s="8">
        <f>IF(26-F47&lt;0,100-F47+26,26-F47)</f>
        <v>14</v>
      </c>
      <c r="H47" s="9">
        <v>19421.099999999999</v>
      </c>
      <c r="I47" s="9">
        <f>H47/(G47+0.5)</f>
        <v>1339.3862068965516</v>
      </c>
      <c r="J47" s="8" t="s">
        <v>14</v>
      </c>
      <c r="K47" s="8" t="s">
        <v>37</v>
      </c>
      <c r="L47" s="8">
        <v>100000</v>
      </c>
      <c r="M47" s="8" t="str">
        <f>IF(H47&lt;L47,"Covered","Not Covered")</f>
        <v>Covered</v>
      </c>
      <c r="N47" s="10" t="str">
        <f>CONCATENATE(B47,F47,D47,UPPER(LEFT(J47,3)),UPPER(RIGHT(A47,3)))</f>
        <v>GB12WBLBLA015</v>
      </c>
    </row>
    <row r="48" spans="1:14" x14ac:dyDescent="0.2">
      <c r="A48" s="7" t="s">
        <v>29</v>
      </c>
      <c r="B48" s="8" t="str">
        <f>LEFT(A48,2)</f>
        <v>NC</v>
      </c>
      <c r="C48" s="8" t="str">
        <f>VLOOKUP(B48, $B$57:$C$62, 2, FALSE)</f>
        <v>Nocross</v>
      </c>
      <c r="D48" s="8" t="str">
        <f>MID(A48,5,3)</f>
        <v>ROL</v>
      </c>
      <c r="E48" s="8" t="str">
        <f>VLOOKUP(D48,$E$57:$F$67,2,FALSE)</f>
        <v>Roller Shade</v>
      </c>
      <c r="F48" s="8" t="str">
        <f>MID(A48,3,2)</f>
        <v>12</v>
      </c>
      <c r="G48" s="8">
        <f>IF(26-F48&lt;0,100-F48+26,26-F48)</f>
        <v>14</v>
      </c>
      <c r="H48" s="9">
        <v>19341.7</v>
      </c>
      <c r="I48" s="9">
        <f>H48/(G48+0.5)</f>
        <v>1333.9103448275862</v>
      </c>
      <c r="J48" s="8" t="s">
        <v>16</v>
      </c>
      <c r="K48" s="8" t="s">
        <v>30</v>
      </c>
      <c r="L48" s="8">
        <v>75000</v>
      </c>
      <c r="M48" s="8" t="str">
        <f>IF(H48&lt;L48,"Covered","Not Covered")</f>
        <v>Covered</v>
      </c>
      <c r="N48" s="10" t="str">
        <f>CONCATENATE(B48,F48,D48,UPPER(LEFT(J48,3)),UPPER(RIGHT(A48,3)))</f>
        <v>NC12ROLWHI011</v>
      </c>
    </row>
    <row r="49" spans="1:14" x14ac:dyDescent="0.2">
      <c r="A49" s="7" t="s">
        <v>53</v>
      </c>
      <c r="B49" s="8" t="str">
        <f>LEFT(A49,2)</f>
        <v>LV</v>
      </c>
      <c r="C49" s="8" t="str">
        <f>VLOOKUP(B49, $B$57:$C$62, 2, FALSE)</f>
        <v>Levolor</v>
      </c>
      <c r="D49" s="8" t="str">
        <f>MID(A49,5,3)</f>
        <v>CRD</v>
      </c>
      <c r="E49" s="8" t="str">
        <f>VLOOKUP(D49,$E$57:$F$67,2,FALSE)</f>
        <v>Cordless Shade</v>
      </c>
      <c r="F49" s="8" t="str">
        <f>MID(A49,3,2)</f>
        <v>14</v>
      </c>
      <c r="G49" s="8">
        <f>IF(26-F49&lt;0,100-F49+26,26-F49)</f>
        <v>12</v>
      </c>
      <c r="H49" s="9">
        <v>17556.3</v>
      </c>
      <c r="I49" s="9">
        <f>H49/(G49+0.5)</f>
        <v>1404.5039999999999</v>
      </c>
      <c r="J49" s="8" t="s">
        <v>42</v>
      </c>
      <c r="K49" s="8" t="s">
        <v>28</v>
      </c>
      <c r="L49" s="8">
        <v>100000</v>
      </c>
      <c r="M49" s="8" t="str">
        <f>IF(H49&lt;L49,"Covered","Not Covered")</f>
        <v>Covered</v>
      </c>
      <c r="N49" s="10" t="str">
        <f>CONCATENATE(B49,F49,D49,UPPER(LEFT(J49,3)),UPPER(RIGHT(A49,3)))</f>
        <v>LV14CRDBLU027</v>
      </c>
    </row>
    <row r="50" spans="1:14" x14ac:dyDescent="0.2">
      <c r="A50" s="7" t="s">
        <v>38</v>
      </c>
      <c r="B50" s="8" t="str">
        <f>LEFT(A50,2)</f>
        <v>GB</v>
      </c>
      <c r="C50" s="8" t="str">
        <f>VLOOKUP(B50, $B$57:$C$62, 2, FALSE)</f>
        <v>Graber</v>
      </c>
      <c r="D50" s="8" t="str">
        <f>MID(A50,5,3)</f>
        <v>WBL</v>
      </c>
      <c r="E50" s="8" t="str">
        <f>VLOOKUP(D50,$E$57:$F$67,2,FALSE)</f>
        <v>Wood Blind</v>
      </c>
      <c r="F50" s="8" t="str">
        <f>MID(A50,3,2)</f>
        <v>14</v>
      </c>
      <c r="G50" s="8">
        <f>IF(26-F50&lt;0,100-F50+26,26-F50)</f>
        <v>12</v>
      </c>
      <c r="H50" s="9">
        <v>14289.6</v>
      </c>
      <c r="I50" s="9">
        <f>H50/(G50+0.5)</f>
        <v>1143.1680000000001</v>
      </c>
      <c r="J50" s="8" t="s">
        <v>16</v>
      </c>
      <c r="K50" s="8" t="s">
        <v>39</v>
      </c>
      <c r="L50" s="8">
        <v>100000</v>
      </c>
      <c r="M50" s="8" t="str">
        <f>IF(H50&lt;L50,"Covered","Not Covered")</f>
        <v>Covered</v>
      </c>
      <c r="N50" s="10" t="str">
        <f>CONCATENATE(B50,F50,D50,UPPER(LEFT(J50,3)),UPPER(RIGHT(A50,3)))</f>
        <v>GB14WBLWHI016</v>
      </c>
    </row>
    <row r="51" spans="1:14" x14ac:dyDescent="0.2">
      <c r="A51" s="7" t="s">
        <v>62</v>
      </c>
      <c r="B51" s="8" t="str">
        <f>LEFT(A51,2)</f>
        <v>HT</v>
      </c>
      <c r="C51" s="8" t="str">
        <f>VLOOKUP(B51, $B$57:$C$62, 2, FALSE)</f>
        <v>Hunter</v>
      </c>
      <c r="D51" s="8" t="str">
        <f>MID(A51,5,3)</f>
        <v>SHR</v>
      </c>
      <c r="E51" s="8" t="str">
        <f>VLOOKUP(D51,$E$57:$F$67,2,FALSE)</f>
        <v>Sheer Shade</v>
      </c>
      <c r="F51" s="8" t="str">
        <f>MID(A51,3,2)</f>
        <v>13</v>
      </c>
      <c r="G51" s="8">
        <f>IF(26-F51&lt;0,100-F51+26,26-F51)</f>
        <v>13</v>
      </c>
      <c r="H51" s="9">
        <v>13867.6</v>
      </c>
      <c r="I51" s="9">
        <f>H51/(G51+0.5)</f>
        <v>1027.2296296296297</v>
      </c>
      <c r="J51" s="8" t="s">
        <v>14</v>
      </c>
      <c r="K51" s="8" t="s">
        <v>44</v>
      </c>
      <c r="L51" s="8">
        <v>75000</v>
      </c>
      <c r="M51" s="8" t="str">
        <f>IF(H51&lt;L51,"Covered","Not Covered")</f>
        <v>Covered</v>
      </c>
      <c r="N51" s="10" t="str">
        <f>CONCATENATE(B51,F51,D51,UPPER(LEFT(J51,3)),UPPER(RIGHT(A51,3)))</f>
        <v>HT13SHRBLA036</v>
      </c>
    </row>
    <row r="52" spans="1:14" x14ac:dyDescent="0.2">
      <c r="A52" s="7" t="s">
        <v>33</v>
      </c>
      <c r="B52" s="8" t="str">
        <f>LEFT(A52,2)</f>
        <v>NC</v>
      </c>
      <c r="C52" s="8" t="str">
        <f>VLOOKUP(B52, $B$57:$C$62, 2, FALSE)</f>
        <v>Nocross</v>
      </c>
      <c r="D52" s="8" t="str">
        <f>MID(A52,5,3)</f>
        <v>ROL</v>
      </c>
      <c r="E52" s="8" t="str">
        <f>VLOOKUP(D52,$E$57:$F$67,2,FALSE)</f>
        <v>Roller Shade</v>
      </c>
      <c r="F52" s="8" t="str">
        <f>MID(A52,3,2)</f>
        <v>13</v>
      </c>
      <c r="G52" s="8">
        <f>IF(26-F52&lt;0,100-F52+26,26-F52)</f>
        <v>13</v>
      </c>
      <c r="H52" s="9">
        <v>13682.9</v>
      </c>
      <c r="I52" s="9">
        <f>H52/(G52+0.5)</f>
        <v>1013.5481481481481</v>
      </c>
      <c r="J52" s="8" t="s">
        <v>14</v>
      </c>
      <c r="K52" s="8" t="s">
        <v>34</v>
      </c>
      <c r="L52" s="8">
        <v>75000</v>
      </c>
      <c r="M52" s="8" t="str">
        <f>IF(H52&lt;L52,"Covered","Not Covered")</f>
        <v>Covered</v>
      </c>
      <c r="N52" s="10" t="str">
        <f>CONCATENATE(B52,F52,D52,UPPER(LEFT(J52,3)),UPPER(RIGHT(A52,3)))</f>
        <v>NC13ROLBLA013</v>
      </c>
    </row>
    <row r="53" spans="1:14" ht="17" thickBot="1" x14ac:dyDescent="0.25">
      <c r="A53" s="11" t="s">
        <v>65</v>
      </c>
      <c r="B53" s="12" t="str">
        <f>LEFT(A53,2)</f>
        <v>HT</v>
      </c>
      <c r="C53" s="12" t="str">
        <f>VLOOKUP(B53, $B$57:$C$62, 2, FALSE)</f>
        <v>Hunter</v>
      </c>
      <c r="D53" s="12" t="str">
        <f>MID(A53,5,3)</f>
        <v>PLT</v>
      </c>
      <c r="E53" s="12" t="str">
        <f>VLOOKUP(D53,$E$57:$F$67,2,FALSE)</f>
        <v>Pleated Shade</v>
      </c>
      <c r="F53" s="12" t="str">
        <f>MID(A53,3,2)</f>
        <v>14</v>
      </c>
      <c r="G53" s="12">
        <f>IF(26-F53&lt;0,100-F53+26,26-F53)</f>
        <v>12</v>
      </c>
      <c r="H53" s="13">
        <v>3708.1</v>
      </c>
      <c r="I53" s="13">
        <f>H53/(G53+0.5)</f>
        <v>296.64799999999997</v>
      </c>
      <c r="J53" s="12" t="s">
        <v>14</v>
      </c>
      <c r="K53" s="12" t="s">
        <v>17</v>
      </c>
      <c r="L53" s="12">
        <v>100000</v>
      </c>
      <c r="M53" s="12" t="str">
        <f>IF(H53&lt;L53,"Covered","Not Covered")</f>
        <v>Covered</v>
      </c>
      <c r="N53" s="14" t="str">
        <f>CONCATENATE(B53,F53,D53,UPPER(LEFT(J53,3)),UPPER(RIGHT(A53,3)))</f>
        <v>HT14PLTBLA041</v>
      </c>
    </row>
    <row r="55" spans="1:14" ht="17" thickBot="1" x14ac:dyDescent="0.25"/>
    <row r="56" spans="1:14" x14ac:dyDescent="0.2">
      <c r="B56" s="25" t="s">
        <v>132</v>
      </c>
      <c r="C56" s="18"/>
      <c r="E56" s="24" t="s">
        <v>89</v>
      </c>
      <c r="F56" s="19"/>
    </row>
    <row r="57" spans="1:14" x14ac:dyDescent="0.2">
      <c r="B57" s="18" t="s">
        <v>77</v>
      </c>
      <c r="C57" s="18" t="s">
        <v>78</v>
      </c>
      <c r="E57" s="20" t="s">
        <v>90</v>
      </c>
      <c r="F57" s="21" t="s">
        <v>94</v>
      </c>
    </row>
    <row r="58" spans="1:14" x14ac:dyDescent="0.2">
      <c r="B58" s="18" t="s">
        <v>79</v>
      </c>
      <c r="C58" s="18" t="s">
        <v>80</v>
      </c>
      <c r="E58" s="20" t="s">
        <v>95</v>
      </c>
      <c r="F58" s="21" t="s">
        <v>96</v>
      </c>
    </row>
    <row r="59" spans="1:14" x14ac:dyDescent="0.2">
      <c r="B59" s="18" t="s">
        <v>81</v>
      </c>
      <c r="C59" s="18" t="s">
        <v>82</v>
      </c>
      <c r="E59" s="20" t="s">
        <v>91</v>
      </c>
      <c r="F59" s="21" t="s">
        <v>97</v>
      </c>
    </row>
    <row r="60" spans="1:14" x14ac:dyDescent="0.2">
      <c r="B60" s="18" t="s">
        <v>83</v>
      </c>
      <c r="C60" s="18" t="s">
        <v>84</v>
      </c>
      <c r="E60" s="20" t="s">
        <v>92</v>
      </c>
      <c r="F60" s="21" t="s">
        <v>98</v>
      </c>
    </row>
    <row r="61" spans="1:14" x14ac:dyDescent="0.2">
      <c r="B61" s="18" t="s">
        <v>85</v>
      </c>
      <c r="C61" s="18" t="s">
        <v>86</v>
      </c>
      <c r="E61" s="20" t="s">
        <v>93</v>
      </c>
      <c r="F61" s="21" t="s">
        <v>99</v>
      </c>
    </row>
    <row r="62" spans="1:14" x14ac:dyDescent="0.2">
      <c r="B62" s="18" t="s">
        <v>87</v>
      </c>
      <c r="C62" s="18" t="s">
        <v>88</v>
      </c>
      <c r="E62" s="20" t="s">
        <v>100</v>
      </c>
      <c r="F62" s="21" t="s">
        <v>101</v>
      </c>
    </row>
    <row r="63" spans="1:14" x14ac:dyDescent="0.2">
      <c r="E63" s="20" t="s">
        <v>102</v>
      </c>
      <c r="F63" s="21" t="s">
        <v>103</v>
      </c>
    </row>
    <row r="64" spans="1:14" x14ac:dyDescent="0.2">
      <c r="E64" s="20" t="s">
        <v>104</v>
      </c>
      <c r="F64" s="21" t="s">
        <v>105</v>
      </c>
    </row>
    <row r="65" spans="5:6" x14ac:dyDescent="0.2">
      <c r="E65" s="20" t="s">
        <v>106</v>
      </c>
      <c r="F65" s="21" t="s">
        <v>107</v>
      </c>
    </row>
    <row r="66" spans="5:6" x14ac:dyDescent="0.2">
      <c r="E66" s="20" t="s">
        <v>108</v>
      </c>
      <c r="F66" s="21" t="s">
        <v>109</v>
      </c>
    </row>
    <row r="67" spans="5:6" ht="17" thickBot="1" x14ac:dyDescent="0.25">
      <c r="E67" s="22" t="s">
        <v>110</v>
      </c>
      <c r="F67" s="23" t="s">
        <v>111</v>
      </c>
    </row>
  </sheetData>
  <sortState xmlns:xlrd2="http://schemas.microsoft.com/office/spreadsheetml/2017/richdata2" ref="A2:N53">
    <sortCondition descending="1" ref="H2:H53"/>
  </sortState>
  <conditionalFormatting sqref="H1:H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5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formula" val="&quot;Covered&quot;"/>
        <cfvo type="formula" val="&quot;Not Covered&quot;"/>
        <color theme="6" tint="0.39997558519241921"/>
        <color rgb="FFFF0000"/>
      </colorScale>
    </cfRule>
    <cfRule type="colorScale" priority="4">
      <colorScale>
        <cfvo type="min"/>
        <cfvo type="max"/>
        <color rgb="FFFF7128"/>
        <color rgb="FFFFEF9C"/>
      </colorScale>
    </cfRule>
    <cfRule type="cellIs" dxfId="1" priority="2" operator="equal">
      <formula>"Covered"</formula>
    </cfRule>
  </conditionalFormatting>
  <conditionalFormatting sqref="M2:M53">
    <cfRule type="cellIs" dxfId="0" priority="1" operator="equal">
      <formula>"Not Covered"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norman_inventory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Zaid Kamil</dc:creator>
  <cp:lastModifiedBy>Muhammad Zaid Kamil</cp:lastModifiedBy>
  <dcterms:created xsi:type="dcterms:W3CDTF">2026-06-21T19:07:08Z</dcterms:created>
  <dcterms:modified xsi:type="dcterms:W3CDTF">2026-06-22T06:00:26Z</dcterms:modified>
</cp:coreProperties>
</file>